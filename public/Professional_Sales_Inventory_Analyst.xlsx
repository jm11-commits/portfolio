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Monthly_Analysis" sheetId="5" state="visible" r:id="rId5"/>
    <sheet xmlns:r="http://schemas.openxmlformats.org/officeDocument/2006/relationships" name="Inventory_Analysis" sheetId="6" state="visible" r:id="rId6"/>
    <sheet xmlns:r="http://schemas.openxmlformats.org/officeDocument/2006/relationships" name="Read_Me" sheetId="7" state="visible" r:id="rId7"/>
  </sheets>
  <definedNames>
    <definedName name="_xlnm._FilterDatabase" localSheetId="1" hidden="1">'Sales_Data'!$A$1:$N$501</definedName>
    <definedName name="_xlnm._FilterDatabase" localSheetId="2" hidden="1">'Products'!$A$1:$G$13</definedName>
    <definedName name="_xlnm._FilterDatabase" localSheetId="3" hidden="1">'Customers'!$A$1:$C$31</definedName>
    <definedName name="_xlnm._FilterDatabase" localSheetId="4" hidden="1">'Monthly_Analysis'!$A$1:$H$10</definedName>
    <definedName name="_xlnm._FilterDatabase" localSheetId="5" hidden="1">'Inventory_Analysis'!$A$1:$J$13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m d, yyyy"/>
    <numFmt numFmtId="166" formatCode="₱#,##0.00"/>
    <numFmt numFmtId="167" formatCode="0.0%"/>
    <numFmt numFmtId="168" formatCode="₱#,##0"/>
    <numFmt numFmtId="169" formatCode="mmm yyyy"/>
    <numFmt numFmtId="170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  <font>
      <b val="1"/>
      <color rgb="00FFFFFF"/>
      <sz val="22"/>
    </font>
    <font>
      <b val="1"/>
      <color rgb="00FFFFFF"/>
      <sz val="10"/>
    </font>
    <font>
      <b val="1"/>
      <color rgb="005B2C83"/>
      <sz val="18"/>
    </font>
    <font>
      <b val="1"/>
    </font>
    <font>
      <b val="1"/>
      <color rgb="005B2C83"/>
    </font>
  </fonts>
  <fills count="5">
    <fill>
      <patternFill/>
    </fill>
    <fill>
      <patternFill patternType="gray125"/>
    </fill>
    <fill>
      <patternFill patternType="solid">
        <fgColor rgb="005B2C83"/>
      </patternFill>
    </fill>
    <fill>
      <patternFill patternType="solid">
        <fgColor rgb="00211A2E"/>
      </patternFill>
    </fill>
    <fill>
      <patternFill patternType="solid">
        <fgColor rgb="00EE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8" fontId="6" fillId="4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3" borderId="0" pivotButton="0" quotePrefix="0" xfId="0"/>
    <xf numFmtId="168" fontId="0" fillId="0" borderId="0" pivotButton="0" quotePrefix="0" xfId="0"/>
    <xf numFmtId="167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Gross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'Monthly_Analysis'!$A$2:$A$10</f>
            </numRef>
          </cat>
          <val>
            <numRef>
              <f>'Monthly_Analysis'!$B$2:$B$10</f>
            </numRef>
          </val>
        </ser>
        <ser>
          <idx val="1"/>
          <order val="1"/>
          <tx>
            <strRef>
              <f>'Monthly_Analysis'!C1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'Monthly_Analysis'!$A$2:$A$10</f>
            </numRef>
          </cat>
          <val>
            <numRef>
              <f>'Monthly_Analysis'!$C$2:$C$10</f>
            </numRef>
          </val>
        </ser>
        <ser>
          <idx val="2"/>
          <order val="2"/>
          <tx>
            <strRef>
              <f>'Monthly_Analysis'!D1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'Monthly_Analysis'!$A$2:$A$10</f>
            </numRef>
          </cat>
          <val>
            <numRef>
              <f>'Monthly_Analysis'!$D$2:$D$10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'Products'!K3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'Products'!$I$4:$I$15</f>
            </numRef>
          </cat>
          <val>
            <numRef>
              <f>'Products'!$K$4:$K$15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N501" headerRowCount="1">
  <autoFilter ref="A1:N501"/>
  <tableColumns count="14">
    <tableColumn id="1" name="Order_ID"/>
    <tableColumn id="2" name="Order_Date"/>
    <tableColumn id="3" name="Customer_ID"/>
    <tableColumn id="4" name="Product_ID"/>
    <tableColumn id="5" name="Quantity"/>
    <tableColumn id="6" name="Unit_Price"/>
    <tableColumn id="7" name="Unit_Cost"/>
    <tableColumn id="8" name="Discount"/>
    <tableColumn id="9" name="Sales_Revenue"/>
    <tableColumn id="10" name="COGS"/>
    <tableColumn id="11" name="Gross_Profit"/>
    <tableColumn id="12" name="Payment_Method"/>
    <tableColumn id="13" name="Order_Status"/>
    <tableColumn id="14" name="Channel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ProductsTable" displayName="ProductsTable" ref="A1:G13" headerRowCount="1">
  <autoFilter ref="A1:G13"/>
  <tableColumns count="7">
    <tableColumn id="1" name="Product_ID"/>
    <tableColumn id="2" name="Product_Name"/>
    <tableColumn id="3" name="Category"/>
    <tableColumn id="4" name="Brand"/>
    <tableColumn id="5" name="Unit_Cost"/>
    <tableColumn id="6" name="Selling_Price"/>
    <tableColumn id="7" name="Current_Stock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CustomersTable" displayName="CustomersTable" ref="A1:C31" headerRowCount="1">
  <autoFilter ref="A1:C31"/>
  <tableColumns count="3">
    <tableColumn id="1" name="Customer_ID"/>
    <tableColumn id="2" name="Customer_Name"/>
    <tableColumn id="3" name="City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1" t="inlineStr">
        <is>
          <t>SALES &amp; INVENTORY ANALYTICS DASHBOARD</t>
        </is>
      </c>
    </row>
    <row r="2" ht="22" customHeight="1"/>
    <row r="3" ht="22" customHeight="1"/>
    <row r="4" ht="22" customHeight="1">
      <c r="A4" s="2" t="inlineStr">
        <is>
          <t>TOTAL REVENUE</t>
        </is>
      </c>
      <c r="D4" s="2" t="inlineStr">
        <is>
          <t>GROSS PROFIT</t>
        </is>
      </c>
      <c r="G4" s="2" t="inlineStr">
        <is>
          <t>PROFIT MARGIN</t>
        </is>
      </c>
      <c r="J4" s="2" t="inlineStr">
        <is>
          <t>ORDERS</t>
        </is>
      </c>
      <c r="M4" s="2" t="inlineStr">
        <is>
          <t>UNITS SOLD</t>
        </is>
      </c>
    </row>
    <row r="5" ht="22" customHeight="1">
      <c r="A5" s="3">
        <f>SUMIFS(Sales_Data!$I:$I,Sales_Data!$M:$M,"Completed")</f>
        <v/>
      </c>
      <c r="D5" s="3">
        <f>SUMIFS(Sales_Data!$K:$K,Sales_Data!$M:$M,"Completed")</f>
        <v/>
      </c>
      <c r="G5" s="4">
        <f>IFERROR(B5/D5,0)</f>
        <v/>
      </c>
      <c r="J5" s="5">
        <f>COUNTIF(Sales_Data!$M:$M,"Completed")</f>
        <v/>
      </c>
      <c r="M5" s="5">
        <f>SUMIFS(Sales_Data!$E:$E,Sales_Data!$M:$M,"Completed")</f>
        <v/>
      </c>
    </row>
    <row r="6" ht="22" customHeight="1"/>
    <row r="7" ht="22" customHeight="1"/>
    <row r="8" ht="22" customHeight="1">
      <c r="A8" s="6" t="inlineStr">
        <is>
          <t>ANALYST WATCHLIST</t>
        </is>
      </c>
      <c r="H8" s="6" t="inlineStr">
        <is>
          <t>BUSINESS MIX</t>
        </is>
      </c>
    </row>
    <row r="9" ht="22" customHeight="1">
      <c r="A9" s="7" t="inlineStr">
        <is>
          <t>Low-stock products</t>
        </is>
      </c>
      <c r="B9" s="8">
        <f>COUNTIF(Inventory_Analysis!$J:$J,"REORDER")+COUNTIF(Inventory_Analysis!$J:$J,"REORDER NOW")</f>
        <v/>
      </c>
      <c r="H9" s="9" t="inlineStr">
        <is>
          <t>Channel</t>
        </is>
      </c>
      <c r="I9" s="9" t="inlineStr">
        <is>
          <t>Revenue</t>
        </is>
      </c>
      <c r="J9" s="9" t="inlineStr">
        <is>
          <t>Share</t>
        </is>
      </c>
    </row>
    <row r="10" ht="22" customHeight="1">
      <c r="A10" s="7" t="inlineStr">
        <is>
          <t>Critical stock items</t>
        </is>
      </c>
      <c r="B10" s="8">
        <f>COUNTIF(Products!$O:$O,"CRITICAL")</f>
        <v/>
      </c>
      <c r="H10" t="inlineStr">
        <is>
          <t>Website</t>
        </is>
      </c>
      <c r="I10" s="10">
        <f>SUMIFS(Sales_Data!$I:$I,Sales_Data!$N:$N,H10,Sales_Data!$M:$M,"Completed")</f>
        <v/>
      </c>
      <c r="J10" s="11">
        <f>IFERROR(I10/SUM($I$10:$I$13),0)</f>
        <v/>
      </c>
    </row>
    <row r="11" ht="22" customHeight="1">
      <c r="A11" s="7" t="inlineStr">
        <is>
          <t>Top product by revenue</t>
        </is>
      </c>
      <c r="B11" s="8">
        <f>INDEX(Products!$B$4:$B$15,MATCH(MAX(Products!$K$4:$K$15),Products!$K$4:$K$15,0))</f>
        <v/>
      </c>
      <c r="H11" t="inlineStr">
        <is>
          <t>Facebook</t>
        </is>
      </c>
      <c r="I11" s="10">
        <f>SUMIFS(Sales_Data!$I:$I,Sales_Data!$N:$N,H11,Sales_Data!$M:$M,"Completed")</f>
        <v/>
      </c>
      <c r="J11" s="11">
        <f>IFERROR(I11/SUM($I$10:$I$13),0)</f>
        <v/>
      </c>
    </row>
    <row r="12" ht="22" customHeight="1">
      <c r="A12" s="7" t="inlineStr">
        <is>
          <t>Best product margin</t>
        </is>
      </c>
      <c r="B12" s="8">
        <f>INDEX(Products!$B$4:$B$15,MATCH(MAX(Products!$M$4:$M$15),Products!$M$4:$M$15,0))</f>
        <v/>
      </c>
      <c r="H12" t="inlineStr">
        <is>
          <t>TikTok</t>
        </is>
      </c>
      <c r="I12" s="10">
        <f>SUMIFS(Sales_Data!$I:$I,Sales_Data!$N:$N,H12,Sales_Data!$M:$M,"Completed")</f>
        <v/>
      </c>
      <c r="J12" s="11">
        <f>IFERROR(I12/SUM($I$10:$I$13),0)</f>
        <v/>
      </c>
    </row>
    <row r="13" ht="22" customHeight="1">
      <c r="H13" t="inlineStr">
        <is>
          <t>Walk-in</t>
        </is>
      </c>
      <c r="I13" s="10">
        <f>SUMIFS(Sales_Data!$I:$I,Sales_Data!$N:$N,H13,Sales_Data!$M:$M,"Completed")</f>
        <v/>
      </c>
      <c r="J13" s="11">
        <f>IFERROR(I13/SUM($I$10:$I$13),0)</f>
        <v/>
      </c>
    </row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</sheetData>
  <mergeCells count="13">
    <mergeCell ref="D5:F6"/>
    <mergeCell ref="J5:L6"/>
    <mergeCell ref="J4:L4"/>
    <mergeCell ref="M5:N6"/>
    <mergeCell ref="A1:N2"/>
    <mergeCell ref="H8:N8"/>
    <mergeCell ref="A5:C6"/>
    <mergeCell ref="G5:I6"/>
    <mergeCell ref="D4:F4"/>
    <mergeCell ref="A8:F8"/>
    <mergeCell ref="G4:I4"/>
    <mergeCell ref="A4:C4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0" customWidth="1" min="11" max="11"/>
    <col width="16" customWidth="1" min="12" max="12"/>
    <col width="14" customWidth="1" min="13" max="13"/>
    <col width="12" customWidth="1" min="14" max="14"/>
  </cols>
  <sheetData>
    <row r="1">
      <c r="A1" s="12" t="inlineStr">
        <is>
          <t>Order_ID</t>
        </is>
      </c>
      <c r="B1" s="12" t="inlineStr">
        <is>
          <t>Order_Date</t>
        </is>
      </c>
      <c r="C1" s="12" t="inlineStr">
        <is>
          <t>Customer_ID</t>
        </is>
      </c>
      <c r="D1" s="12" t="inlineStr">
        <is>
          <t>Product_ID</t>
        </is>
      </c>
      <c r="E1" s="12" t="inlineStr">
        <is>
          <t>Quantity</t>
        </is>
      </c>
      <c r="F1" s="12" t="inlineStr">
        <is>
          <t>Unit_Price</t>
        </is>
      </c>
      <c r="G1" s="12" t="inlineStr">
        <is>
          <t>Unit_Cost</t>
        </is>
      </c>
      <c r="H1" s="12" t="inlineStr">
        <is>
          <t>Discount</t>
        </is>
      </c>
      <c r="I1" s="12" t="inlineStr">
        <is>
          <t>Sales_Revenue</t>
        </is>
      </c>
      <c r="J1" s="12" t="inlineStr">
        <is>
          <t>COGS</t>
        </is>
      </c>
      <c r="K1" s="12" t="inlineStr">
        <is>
          <t>Gross_Profit</t>
        </is>
      </c>
      <c r="L1" s="12" t="inlineStr">
        <is>
          <t>Payment_Method</t>
        </is>
      </c>
      <c r="M1" s="12" t="inlineStr">
        <is>
          <t>Order_Status</t>
        </is>
      </c>
      <c r="N1" s="12" t="inlineStr">
        <is>
          <t>Channel</t>
        </is>
      </c>
    </row>
    <row r="2">
      <c r="A2" t="inlineStr">
        <is>
          <t>ORD00001</t>
        </is>
      </c>
      <c r="B2" s="13" t="n">
        <v>46217</v>
      </c>
      <c r="C2" t="inlineStr">
        <is>
          <t>C020</t>
        </is>
      </c>
      <c r="D2" t="inlineStr">
        <is>
          <t>P002</t>
        </is>
      </c>
      <c r="E2" t="n">
        <v>1</v>
      </c>
      <c r="F2" s="14" t="n">
        <v>5495</v>
      </c>
      <c r="G2" s="14" t="n">
        <v>3500</v>
      </c>
      <c r="H2" s="11" t="n">
        <v>0</v>
      </c>
      <c r="I2" s="14" t="n">
        <v>5495</v>
      </c>
      <c r="J2" s="14" t="n">
        <v>3500</v>
      </c>
      <c r="K2" s="14" t="n">
        <v>1995</v>
      </c>
      <c r="L2" t="inlineStr">
        <is>
          <t>Card</t>
        </is>
      </c>
      <c r="M2" t="inlineStr">
        <is>
          <t>Completed</t>
        </is>
      </c>
      <c r="N2" t="inlineStr">
        <is>
          <t>Walk-in</t>
        </is>
      </c>
    </row>
    <row r="3">
      <c r="A3" t="inlineStr">
        <is>
          <t>ORD00002</t>
        </is>
      </c>
      <c r="B3" s="13" t="n">
        <v>46297</v>
      </c>
      <c r="C3" t="inlineStr">
        <is>
          <t>C003</t>
        </is>
      </c>
      <c r="D3" t="inlineStr">
        <is>
          <t>P002</t>
        </is>
      </c>
      <c r="E3" t="n">
        <v>4</v>
      </c>
      <c r="F3" s="14" t="n">
        <v>5495</v>
      </c>
      <c r="G3" s="14" t="n">
        <v>3500</v>
      </c>
      <c r="H3" s="11" t="n">
        <v>0.03</v>
      </c>
      <c r="I3" s="14" t="n">
        <v>21320.6</v>
      </c>
      <c r="J3" s="14" t="n">
        <v>14000</v>
      </c>
      <c r="K3" s="14" t="n">
        <v>7320.599999999999</v>
      </c>
      <c r="L3" t="inlineStr">
        <is>
          <t>Card</t>
        </is>
      </c>
      <c r="M3" t="inlineStr">
        <is>
          <t>Completed</t>
        </is>
      </c>
      <c r="N3" t="inlineStr">
        <is>
          <t>TikTok</t>
        </is>
      </c>
    </row>
    <row r="4">
      <c r="A4" t="inlineStr">
        <is>
          <t>ORD00003</t>
        </is>
      </c>
      <c r="B4" s="13" t="n">
        <v>46121</v>
      </c>
      <c r="C4" t="inlineStr">
        <is>
          <t>C008</t>
        </is>
      </c>
      <c r="D4" t="inlineStr">
        <is>
          <t>P012</t>
        </is>
      </c>
      <c r="E4" t="n">
        <v>1</v>
      </c>
      <c r="F4" s="14" t="n">
        <v>1595</v>
      </c>
      <c r="G4" s="14" t="n">
        <v>900</v>
      </c>
      <c r="H4" s="11" t="n">
        <v>0.1</v>
      </c>
      <c r="I4" s="14" t="n">
        <v>0</v>
      </c>
      <c r="J4" s="14" t="n">
        <v>0</v>
      </c>
      <c r="K4" s="14" t="n">
        <v>0</v>
      </c>
      <c r="L4" t="inlineStr">
        <is>
          <t>Card</t>
        </is>
      </c>
      <c r="M4" t="inlineStr">
        <is>
          <t>Cancelled</t>
        </is>
      </c>
      <c r="N4" t="inlineStr">
        <is>
          <t>Facebook</t>
        </is>
      </c>
    </row>
    <row r="5">
      <c r="A5" t="inlineStr">
        <is>
          <t>ORD00004</t>
        </is>
      </c>
      <c r="B5" s="13" t="n">
        <v>46074</v>
      </c>
      <c r="C5" t="inlineStr">
        <is>
          <t>C027</t>
        </is>
      </c>
      <c r="D5" t="inlineStr">
        <is>
          <t>P007</t>
        </is>
      </c>
      <c r="E5" t="n">
        <v>1</v>
      </c>
      <c r="F5" s="14" t="n">
        <v>5295</v>
      </c>
      <c r="G5" s="14" t="n">
        <v>3300</v>
      </c>
      <c r="H5" s="11" t="n">
        <v>0.1</v>
      </c>
      <c r="I5" s="14" t="n">
        <v>4765.5</v>
      </c>
      <c r="J5" s="14" t="n">
        <v>3300</v>
      </c>
      <c r="K5" s="14" t="n">
        <v>1465.5</v>
      </c>
      <c r="L5" t="inlineStr">
        <is>
          <t>Card</t>
        </is>
      </c>
      <c r="M5" t="inlineStr">
        <is>
          <t>Completed</t>
        </is>
      </c>
      <c r="N5" t="inlineStr">
        <is>
          <t>TikTok</t>
        </is>
      </c>
    </row>
    <row r="6">
      <c r="A6" t="inlineStr">
        <is>
          <t>ORD00005</t>
        </is>
      </c>
      <c r="B6" s="13" t="n">
        <v>46130</v>
      </c>
      <c r="C6" t="inlineStr">
        <is>
          <t>C021</t>
        </is>
      </c>
      <c r="D6" t="inlineStr">
        <is>
          <t>P011</t>
        </is>
      </c>
      <c r="E6" t="n">
        <v>1</v>
      </c>
      <c r="F6" s="14" t="n">
        <v>1495</v>
      </c>
      <c r="G6" s="14" t="n">
        <v>850</v>
      </c>
      <c r="H6" s="11" t="n">
        <v>0.1</v>
      </c>
      <c r="I6" s="14" t="n">
        <v>1345.5</v>
      </c>
      <c r="J6" s="14" t="n">
        <v>850</v>
      </c>
      <c r="K6" s="14" t="n">
        <v>495.5</v>
      </c>
      <c r="L6" t="inlineStr">
        <is>
          <t>GCash</t>
        </is>
      </c>
      <c r="M6" t="inlineStr">
        <is>
          <t>Completed</t>
        </is>
      </c>
      <c r="N6" t="inlineStr">
        <is>
          <t>Facebook</t>
        </is>
      </c>
    </row>
    <row r="7">
      <c r="A7" t="inlineStr">
        <is>
          <t>ORD00006</t>
        </is>
      </c>
      <c r="B7" s="13" t="n">
        <v>46296</v>
      </c>
      <c r="C7" t="inlineStr">
        <is>
          <t>C013</t>
        </is>
      </c>
      <c r="D7" t="inlineStr">
        <is>
          <t>P012</t>
        </is>
      </c>
      <c r="E7" t="n">
        <v>1</v>
      </c>
      <c r="F7" s="14" t="n">
        <v>1595</v>
      </c>
      <c r="G7" s="14" t="n">
        <v>900</v>
      </c>
      <c r="H7" s="11" t="n">
        <v>0.03</v>
      </c>
      <c r="I7" s="14" t="n">
        <v>0</v>
      </c>
      <c r="J7" s="14" t="n">
        <v>0</v>
      </c>
      <c r="K7" s="14" t="n">
        <v>0</v>
      </c>
      <c r="L7" t="inlineStr">
        <is>
          <t>Card</t>
        </is>
      </c>
      <c r="M7" t="inlineStr">
        <is>
          <t>Cancelled</t>
        </is>
      </c>
      <c r="N7" t="inlineStr">
        <is>
          <t>Facebook</t>
        </is>
      </c>
    </row>
    <row r="8">
      <c r="A8" t="inlineStr">
        <is>
          <t>ORD00007</t>
        </is>
      </c>
      <c r="B8" s="13" t="n">
        <v>46189</v>
      </c>
      <c r="C8" t="inlineStr">
        <is>
          <t>C026</t>
        </is>
      </c>
      <c r="D8" t="inlineStr">
        <is>
          <t>P001</t>
        </is>
      </c>
      <c r="E8" t="n">
        <v>1</v>
      </c>
      <c r="F8" s="14" t="n">
        <v>4995</v>
      </c>
      <c r="G8" s="14" t="n">
        <v>3200</v>
      </c>
      <c r="H8" s="11" t="n">
        <v>0</v>
      </c>
      <c r="I8" s="14" t="n">
        <v>4995</v>
      </c>
      <c r="J8" s="14" t="n">
        <v>3200</v>
      </c>
      <c r="K8" s="14" t="n">
        <v>1795</v>
      </c>
      <c r="L8" t="inlineStr">
        <is>
          <t>Card</t>
        </is>
      </c>
      <c r="M8" t="inlineStr">
        <is>
          <t>Completed</t>
        </is>
      </c>
      <c r="N8" t="inlineStr">
        <is>
          <t>Website</t>
        </is>
      </c>
    </row>
    <row r="9">
      <c r="A9" t="inlineStr">
        <is>
          <t>ORD00008</t>
        </is>
      </c>
      <c r="B9" s="13" t="n">
        <v>46131</v>
      </c>
      <c r="C9" t="inlineStr">
        <is>
          <t>C007</t>
        </is>
      </c>
      <c r="D9" t="inlineStr">
        <is>
          <t>P010</t>
        </is>
      </c>
      <c r="E9" t="n">
        <v>3</v>
      </c>
      <c r="F9" s="14" t="n">
        <v>4495</v>
      </c>
      <c r="G9" s="14" t="n">
        <v>2600</v>
      </c>
      <c r="H9" s="11" t="n">
        <v>0</v>
      </c>
      <c r="I9" s="14" t="n">
        <v>13485</v>
      </c>
      <c r="J9" s="14" t="n">
        <v>7800</v>
      </c>
      <c r="K9" s="14" t="n">
        <v>5685</v>
      </c>
      <c r="L9" t="inlineStr">
        <is>
          <t>Maya</t>
        </is>
      </c>
      <c r="M9" t="inlineStr">
        <is>
          <t>Completed</t>
        </is>
      </c>
      <c r="N9" t="inlineStr">
        <is>
          <t>Walk-in</t>
        </is>
      </c>
    </row>
    <row r="10">
      <c r="A10" t="inlineStr">
        <is>
          <t>ORD00009</t>
        </is>
      </c>
      <c r="B10" s="13" t="n">
        <v>46096</v>
      </c>
      <c r="C10" t="inlineStr">
        <is>
          <t>C018</t>
        </is>
      </c>
      <c r="D10" t="inlineStr">
        <is>
          <t>P005</t>
        </is>
      </c>
      <c r="E10" t="n">
        <v>1</v>
      </c>
      <c r="F10" s="14" t="n">
        <v>3695</v>
      </c>
      <c r="G10" s="14" t="n">
        <v>2100</v>
      </c>
      <c r="H10" s="11" t="n">
        <v>0.1</v>
      </c>
      <c r="I10" s="14" t="n">
        <v>3325.5</v>
      </c>
      <c r="J10" s="14" t="n">
        <v>2100</v>
      </c>
      <c r="K10" s="14" t="n">
        <v>1225.5</v>
      </c>
      <c r="L10" t="inlineStr">
        <is>
          <t>Card</t>
        </is>
      </c>
      <c r="M10" t="inlineStr">
        <is>
          <t>Completed</t>
        </is>
      </c>
      <c r="N10" t="inlineStr">
        <is>
          <t>Walk-in</t>
        </is>
      </c>
    </row>
    <row r="11">
      <c r="A11" t="inlineStr">
        <is>
          <t>ORD00010</t>
        </is>
      </c>
      <c r="B11" s="13" t="n">
        <v>46227</v>
      </c>
      <c r="C11" t="inlineStr">
        <is>
          <t>C017</t>
        </is>
      </c>
      <c r="D11" t="inlineStr">
        <is>
          <t>P006</t>
        </is>
      </c>
      <c r="E11" t="n">
        <v>1</v>
      </c>
      <c r="F11" s="14" t="n">
        <v>6295</v>
      </c>
      <c r="G11" s="14" t="n">
        <v>3900</v>
      </c>
      <c r="H11" s="11" t="n">
        <v>0</v>
      </c>
      <c r="I11" s="14" t="n">
        <v>6295</v>
      </c>
      <c r="J11" s="14" t="n">
        <v>3900</v>
      </c>
      <c r="K11" s="14" t="n">
        <v>2395</v>
      </c>
      <c r="L11" t="inlineStr">
        <is>
          <t>Maya</t>
        </is>
      </c>
      <c r="M11" t="inlineStr">
        <is>
          <t>Completed</t>
        </is>
      </c>
      <c r="N11" t="inlineStr">
        <is>
          <t>Website</t>
        </is>
      </c>
    </row>
    <row r="12">
      <c r="A12" t="inlineStr">
        <is>
          <t>ORD00011</t>
        </is>
      </c>
      <c r="B12" s="13" t="n">
        <v>46079</v>
      </c>
      <c r="C12" t="inlineStr">
        <is>
          <t>C014</t>
        </is>
      </c>
      <c r="D12" t="inlineStr">
        <is>
          <t>P003</t>
        </is>
      </c>
      <c r="E12" t="n">
        <v>2</v>
      </c>
      <c r="F12" s="14" t="n">
        <v>5995</v>
      </c>
      <c r="G12" s="14" t="n">
        <v>3800</v>
      </c>
      <c r="H12" s="11" t="n">
        <v>0.1</v>
      </c>
      <c r="I12" s="14" t="n">
        <v>10791</v>
      </c>
      <c r="J12" s="14" t="n">
        <v>7600</v>
      </c>
      <c r="K12" s="14" t="n">
        <v>3191</v>
      </c>
      <c r="L12" t="inlineStr">
        <is>
          <t>GCash</t>
        </is>
      </c>
      <c r="M12" t="inlineStr">
        <is>
          <t>Completed</t>
        </is>
      </c>
      <c r="N12" t="inlineStr">
        <is>
          <t>Walk-in</t>
        </is>
      </c>
    </row>
    <row r="13">
      <c r="A13" t="inlineStr">
        <is>
          <t>ORD00012</t>
        </is>
      </c>
      <c r="B13" s="13" t="n">
        <v>46293</v>
      </c>
      <c r="C13" t="inlineStr">
        <is>
          <t>C022</t>
        </is>
      </c>
      <c r="D13" t="inlineStr">
        <is>
          <t>P005</t>
        </is>
      </c>
      <c r="E13" t="n">
        <v>4</v>
      </c>
      <c r="F13" s="14" t="n">
        <v>3695</v>
      </c>
      <c r="G13" s="14" t="n">
        <v>2100</v>
      </c>
      <c r="H13" s="11" t="n">
        <v>0</v>
      </c>
      <c r="I13" s="14" t="n">
        <v>14780</v>
      </c>
      <c r="J13" s="14" t="n">
        <v>8400</v>
      </c>
      <c r="K13" s="14" t="n">
        <v>6380</v>
      </c>
      <c r="L13" t="inlineStr">
        <is>
          <t>GCash</t>
        </is>
      </c>
      <c r="M13" t="inlineStr">
        <is>
          <t>Completed</t>
        </is>
      </c>
      <c r="N13" t="inlineStr">
        <is>
          <t>TikTok</t>
        </is>
      </c>
    </row>
    <row r="14">
      <c r="A14" t="inlineStr">
        <is>
          <t>ORD00013</t>
        </is>
      </c>
      <c r="B14" s="13" t="n">
        <v>46197</v>
      </c>
      <c r="C14" t="inlineStr">
        <is>
          <t>C015</t>
        </is>
      </c>
      <c r="D14" t="inlineStr">
        <is>
          <t>P002</t>
        </is>
      </c>
      <c r="E14" t="n">
        <v>1</v>
      </c>
      <c r="F14" s="14" t="n">
        <v>5495</v>
      </c>
      <c r="G14" s="14" t="n">
        <v>3500</v>
      </c>
      <c r="H14" s="11" t="n">
        <v>0</v>
      </c>
      <c r="I14" s="14" t="n">
        <v>5495</v>
      </c>
      <c r="J14" s="14" t="n">
        <v>3500</v>
      </c>
      <c r="K14" s="14" t="n">
        <v>1995</v>
      </c>
      <c r="L14" t="inlineStr">
        <is>
          <t>GCash</t>
        </is>
      </c>
      <c r="M14" t="inlineStr">
        <is>
          <t>Completed</t>
        </is>
      </c>
      <c r="N14" t="inlineStr">
        <is>
          <t>TikTok</t>
        </is>
      </c>
    </row>
    <row r="15">
      <c r="A15" t="inlineStr">
        <is>
          <t>ORD00014</t>
        </is>
      </c>
      <c r="B15" s="13" t="n">
        <v>46279</v>
      </c>
      <c r="C15" t="inlineStr">
        <is>
          <t>C028</t>
        </is>
      </c>
      <c r="D15" t="inlineStr">
        <is>
          <t>P003</t>
        </is>
      </c>
      <c r="E15" t="n">
        <v>1</v>
      </c>
      <c r="F15" s="14" t="n">
        <v>5995</v>
      </c>
      <c r="G15" s="14" t="n">
        <v>3800</v>
      </c>
      <c r="H15" s="11" t="n">
        <v>0</v>
      </c>
      <c r="I15" s="14" t="n">
        <v>5995</v>
      </c>
      <c r="J15" s="14" t="n">
        <v>3800</v>
      </c>
      <c r="K15" s="14" t="n">
        <v>2195</v>
      </c>
      <c r="L15" t="inlineStr">
        <is>
          <t>Card</t>
        </is>
      </c>
      <c r="M15" t="inlineStr">
        <is>
          <t>Completed</t>
        </is>
      </c>
      <c r="N15" t="inlineStr">
        <is>
          <t>Facebook</t>
        </is>
      </c>
    </row>
    <row r="16">
      <c r="A16" t="inlineStr">
        <is>
          <t>ORD00015</t>
        </is>
      </c>
      <c r="B16" s="13" t="n">
        <v>46101</v>
      </c>
      <c r="C16" t="inlineStr">
        <is>
          <t>C025</t>
        </is>
      </c>
      <c r="D16" t="inlineStr">
        <is>
          <t>P006</t>
        </is>
      </c>
      <c r="E16" t="n">
        <v>2</v>
      </c>
      <c r="F16" s="14" t="n">
        <v>6295</v>
      </c>
      <c r="G16" s="14" t="n">
        <v>3900</v>
      </c>
      <c r="H16" s="11" t="n">
        <v>0.05</v>
      </c>
      <c r="I16" s="14" t="n">
        <v>11960.5</v>
      </c>
      <c r="J16" s="14" t="n">
        <v>7800</v>
      </c>
      <c r="K16" s="14" t="n">
        <v>4160.5</v>
      </c>
      <c r="L16" t="inlineStr">
        <is>
          <t>GCash</t>
        </is>
      </c>
      <c r="M16" t="inlineStr">
        <is>
          <t>Completed</t>
        </is>
      </c>
      <c r="N16" t="inlineStr">
        <is>
          <t>Walk-in</t>
        </is>
      </c>
    </row>
    <row r="17">
      <c r="A17" t="inlineStr">
        <is>
          <t>ORD00016</t>
        </is>
      </c>
      <c r="B17" s="13" t="n">
        <v>46032</v>
      </c>
      <c r="C17" t="inlineStr">
        <is>
          <t>C008</t>
        </is>
      </c>
      <c r="D17" t="inlineStr">
        <is>
          <t>P002</t>
        </is>
      </c>
      <c r="E17" t="n">
        <v>3</v>
      </c>
      <c r="F17" s="14" t="n">
        <v>5495</v>
      </c>
      <c r="G17" s="14" t="n">
        <v>3500</v>
      </c>
      <c r="H17" s="11" t="n">
        <v>0</v>
      </c>
      <c r="I17" s="14" t="n">
        <v>16485</v>
      </c>
      <c r="J17" s="14" t="n">
        <v>10500</v>
      </c>
      <c r="K17" s="14" t="n">
        <v>5985</v>
      </c>
      <c r="L17" t="inlineStr">
        <is>
          <t>GCash</t>
        </is>
      </c>
      <c r="M17" t="inlineStr">
        <is>
          <t>Completed</t>
        </is>
      </c>
      <c r="N17" t="inlineStr">
        <is>
          <t>Website</t>
        </is>
      </c>
    </row>
    <row r="18">
      <c r="A18" t="inlineStr">
        <is>
          <t>ORD00017</t>
        </is>
      </c>
      <c r="B18" s="13" t="n">
        <v>46066</v>
      </c>
      <c r="C18" t="inlineStr">
        <is>
          <t>C025</t>
        </is>
      </c>
      <c r="D18" t="inlineStr">
        <is>
          <t>P012</t>
        </is>
      </c>
      <c r="E18" t="n">
        <v>1</v>
      </c>
      <c r="F18" s="14" t="n">
        <v>1595</v>
      </c>
      <c r="G18" s="14" t="n">
        <v>900</v>
      </c>
      <c r="H18" s="11" t="n">
        <v>0</v>
      </c>
      <c r="I18" s="14" t="n">
        <v>1595</v>
      </c>
      <c r="J18" s="14" t="n">
        <v>900</v>
      </c>
      <c r="K18" s="14" t="n">
        <v>695</v>
      </c>
      <c r="L18" t="inlineStr">
        <is>
          <t>Cash</t>
        </is>
      </c>
      <c r="M18" t="inlineStr">
        <is>
          <t>Completed</t>
        </is>
      </c>
      <c r="N18" t="inlineStr">
        <is>
          <t>Walk-in</t>
        </is>
      </c>
    </row>
    <row r="19">
      <c r="A19" t="inlineStr">
        <is>
          <t>ORD00018</t>
        </is>
      </c>
      <c r="B19" s="13" t="n">
        <v>46107</v>
      </c>
      <c r="C19" t="inlineStr">
        <is>
          <t>C014</t>
        </is>
      </c>
      <c r="D19" t="inlineStr">
        <is>
          <t>P005</t>
        </is>
      </c>
      <c r="E19" t="n">
        <v>1</v>
      </c>
      <c r="F19" s="14" t="n">
        <v>3695</v>
      </c>
      <c r="G19" s="14" t="n">
        <v>2100</v>
      </c>
      <c r="H19" s="11" t="n">
        <v>0.05</v>
      </c>
      <c r="I19" s="14" t="n">
        <v>3510.25</v>
      </c>
      <c r="J19" s="14" t="n">
        <v>2100</v>
      </c>
      <c r="K19" s="14" t="n">
        <v>1410.25</v>
      </c>
      <c r="L19" t="inlineStr">
        <is>
          <t>Cash</t>
        </is>
      </c>
      <c r="M19" t="inlineStr">
        <is>
          <t>Completed</t>
        </is>
      </c>
      <c r="N19" t="inlineStr">
        <is>
          <t>Facebook</t>
        </is>
      </c>
    </row>
    <row r="20">
      <c r="A20" t="inlineStr">
        <is>
          <t>ORD00019</t>
        </is>
      </c>
      <c r="B20" s="13" t="n">
        <v>46182</v>
      </c>
      <c r="C20" t="inlineStr">
        <is>
          <t>C012</t>
        </is>
      </c>
      <c r="D20" t="inlineStr">
        <is>
          <t>P007</t>
        </is>
      </c>
      <c r="E20" t="n">
        <v>4</v>
      </c>
      <c r="F20" s="14" t="n">
        <v>5295</v>
      </c>
      <c r="G20" s="14" t="n">
        <v>3300</v>
      </c>
      <c r="H20" s="11" t="n">
        <v>0.1</v>
      </c>
      <c r="I20" s="14" t="n">
        <v>19062</v>
      </c>
      <c r="J20" s="14" t="n">
        <v>13200</v>
      </c>
      <c r="K20" s="14" t="n">
        <v>5862</v>
      </c>
      <c r="L20" t="inlineStr">
        <is>
          <t>Maya</t>
        </is>
      </c>
      <c r="M20" t="inlineStr">
        <is>
          <t>Completed</t>
        </is>
      </c>
      <c r="N20" t="inlineStr">
        <is>
          <t>Walk-in</t>
        </is>
      </c>
    </row>
    <row r="21">
      <c r="A21" t="inlineStr">
        <is>
          <t>ORD00020</t>
        </is>
      </c>
      <c r="B21" s="13" t="n">
        <v>46084</v>
      </c>
      <c r="C21" t="inlineStr">
        <is>
          <t>C001</t>
        </is>
      </c>
      <c r="D21" t="inlineStr">
        <is>
          <t>P004</t>
        </is>
      </c>
      <c r="E21" t="n">
        <v>1</v>
      </c>
      <c r="F21" s="14" t="n">
        <v>3995</v>
      </c>
      <c r="G21" s="14" t="n">
        <v>2200</v>
      </c>
      <c r="H21" s="11" t="n">
        <v>0</v>
      </c>
      <c r="I21" s="14" t="n">
        <v>3995</v>
      </c>
      <c r="J21" s="14" t="n">
        <v>2200</v>
      </c>
      <c r="K21" s="14" t="n">
        <v>1795</v>
      </c>
      <c r="L21" t="inlineStr">
        <is>
          <t>Cash</t>
        </is>
      </c>
      <c r="M21" t="inlineStr">
        <is>
          <t>Completed</t>
        </is>
      </c>
      <c r="N21" t="inlineStr">
        <is>
          <t>Website</t>
        </is>
      </c>
    </row>
    <row r="22">
      <c r="A22" t="inlineStr">
        <is>
          <t>ORD00021</t>
        </is>
      </c>
      <c r="B22" s="13" t="n">
        <v>46059</v>
      </c>
      <c r="C22" t="inlineStr">
        <is>
          <t>C003</t>
        </is>
      </c>
      <c r="D22" t="inlineStr">
        <is>
          <t>P012</t>
        </is>
      </c>
      <c r="E22" t="n">
        <v>2</v>
      </c>
      <c r="F22" s="14" t="n">
        <v>1595</v>
      </c>
      <c r="G22" s="14" t="n">
        <v>900</v>
      </c>
      <c r="H22" s="11" t="n">
        <v>0</v>
      </c>
      <c r="I22" s="14" t="n">
        <v>3190</v>
      </c>
      <c r="J22" s="14" t="n">
        <v>1800</v>
      </c>
      <c r="K22" s="14" t="n">
        <v>1390</v>
      </c>
      <c r="L22" t="inlineStr">
        <is>
          <t>GCash</t>
        </is>
      </c>
      <c r="M22" t="inlineStr">
        <is>
          <t>Completed</t>
        </is>
      </c>
      <c r="N22" t="inlineStr">
        <is>
          <t>Website</t>
        </is>
      </c>
    </row>
    <row r="23">
      <c r="A23" t="inlineStr">
        <is>
          <t>ORD00022</t>
        </is>
      </c>
      <c r="B23" s="13" t="n">
        <v>46286</v>
      </c>
      <c r="C23" t="inlineStr">
        <is>
          <t>C007</t>
        </is>
      </c>
      <c r="D23" t="inlineStr">
        <is>
          <t>P004</t>
        </is>
      </c>
      <c r="E23" t="n">
        <v>1</v>
      </c>
      <c r="F23" s="14" t="n">
        <v>3995</v>
      </c>
      <c r="G23" s="14" t="n">
        <v>2200</v>
      </c>
      <c r="H23" s="11" t="n">
        <v>0.03</v>
      </c>
      <c r="I23" s="14" t="n">
        <v>3875.15</v>
      </c>
      <c r="J23" s="14" t="n">
        <v>2200</v>
      </c>
      <c r="K23" s="14" t="n">
        <v>1675.15</v>
      </c>
      <c r="L23" t="inlineStr">
        <is>
          <t>Cash</t>
        </is>
      </c>
      <c r="M23" t="inlineStr">
        <is>
          <t>Completed</t>
        </is>
      </c>
      <c r="N23" t="inlineStr">
        <is>
          <t>Walk-in</t>
        </is>
      </c>
    </row>
    <row r="24">
      <c r="A24" t="inlineStr">
        <is>
          <t>ORD00023</t>
        </is>
      </c>
      <c r="B24" s="13" t="n">
        <v>46147</v>
      </c>
      <c r="C24" t="inlineStr">
        <is>
          <t>C004</t>
        </is>
      </c>
      <c r="D24" t="inlineStr">
        <is>
          <t>P008</t>
        </is>
      </c>
      <c r="E24" t="n">
        <v>2</v>
      </c>
      <c r="F24" s="14" t="n">
        <v>4595</v>
      </c>
      <c r="G24" s="14" t="n">
        <v>2800</v>
      </c>
      <c r="H24" s="11" t="n">
        <v>0</v>
      </c>
      <c r="I24" s="14" t="n">
        <v>9190</v>
      </c>
      <c r="J24" s="14" t="n">
        <v>5600</v>
      </c>
      <c r="K24" s="14" t="n">
        <v>3590</v>
      </c>
      <c r="L24" t="inlineStr">
        <is>
          <t>GCash</t>
        </is>
      </c>
      <c r="M24" t="inlineStr">
        <is>
          <t>Completed</t>
        </is>
      </c>
      <c r="N24" t="inlineStr">
        <is>
          <t>TikTok</t>
        </is>
      </c>
    </row>
    <row r="25">
      <c r="A25" t="inlineStr">
        <is>
          <t>ORD00024</t>
        </is>
      </c>
      <c r="B25" s="13" t="n">
        <v>46239</v>
      </c>
      <c r="C25" t="inlineStr">
        <is>
          <t>C002</t>
        </is>
      </c>
      <c r="D25" t="inlineStr">
        <is>
          <t>P007</t>
        </is>
      </c>
      <c r="E25" t="n">
        <v>1</v>
      </c>
      <c r="F25" s="14" t="n">
        <v>5295</v>
      </c>
      <c r="G25" s="14" t="n">
        <v>3300</v>
      </c>
      <c r="H25" s="11" t="n">
        <v>0.1</v>
      </c>
      <c r="I25" s="14" t="n">
        <v>4765.5</v>
      </c>
      <c r="J25" s="14" t="n">
        <v>3300</v>
      </c>
      <c r="K25" s="14" t="n">
        <v>1465.5</v>
      </c>
      <c r="L25" t="inlineStr">
        <is>
          <t>GCash</t>
        </is>
      </c>
      <c r="M25" t="inlineStr">
        <is>
          <t>Completed</t>
        </is>
      </c>
      <c r="N25" t="inlineStr">
        <is>
          <t>TikTok</t>
        </is>
      </c>
    </row>
    <row r="26">
      <c r="A26" t="inlineStr">
        <is>
          <t>ORD00025</t>
        </is>
      </c>
      <c r="B26" s="13" t="n">
        <v>46078</v>
      </c>
      <c r="C26" t="inlineStr">
        <is>
          <t>C015</t>
        </is>
      </c>
      <c r="D26" t="inlineStr">
        <is>
          <t>P004</t>
        </is>
      </c>
      <c r="E26" t="n">
        <v>1</v>
      </c>
      <c r="F26" s="14" t="n">
        <v>3995</v>
      </c>
      <c r="G26" s="14" t="n">
        <v>2200</v>
      </c>
      <c r="H26" s="11" t="n">
        <v>0.05</v>
      </c>
      <c r="I26" s="14" t="n">
        <v>3795.25</v>
      </c>
      <c r="J26" s="14" t="n">
        <v>2200</v>
      </c>
      <c r="K26" s="14" t="n">
        <v>1595.25</v>
      </c>
      <c r="L26" t="inlineStr">
        <is>
          <t>Cash</t>
        </is>
      </c>
      <c r="M26" t="inlineStr">
        <is>
          <t>Completed</t>
        </is>
      </c>
      <c r="N26" t="inlineStr">
        <is>
          <t>TikTok</t>
        </is>
      </c>
    </row>
    <row r="27">
      <c r="A27" t="inlineStr">
        <is>
          <t>ORD00026</t>
        </is>
      </c>
      <c r="B27" s="13" t="n">
        <v>46259</v>
      </c>
      <c r="C27" t="inlineStr">
        <is>
          <t>C015</t>
        </is>
      </c>
      <c r="D27" t="inlineStr">
        <is>
          <t>P004</t>
        </is>
      </c>
      <c r="E27" t="n">
        <v>3</v>
      </c>
      <c r="F27" s="14" t="n">
        <v>3995</v>
      </c>
      <c r="G27" s="14" t="n">
        <v>2200</v>
      </c>
      <c r="H27" s="11" t="n">
        <v>0</v>
      </c>
      <c r="I27" s="14" t="n">
        <v>11985</v>
      </c>
      <c r="J27" s="14" t="n">
        <v>6600</v>
      </c>
      <c r="K27" s="14" t="n">
        <v>5385</v>
      </c>
      <c r="L27" t="inlineStr">
        <is>
          <t>GCash</t>
        </is>
      </c>
      <c r="M27" t="inlineStr">
        <is>
          <t>Completed</t>
        </is>
      </c>
      <c r="N27" t="inlineStr">
        <is>
          <t>Website</t>
        </is>
      </c>
    </row>
    <row r="28">
      <c r="A28" t="inlineStr">
        <is>
          <t>ORD00027</t>
        </is>
      </c>
      <c r="B28" s="13" t="n">
        <v>46070</v>
      </c>
      <c r="C28" t="inlineStr">
        <is>
          <t>C016</t>
        </is>
      </c>
      <c r="D28" t="inlineStr">
        <is>
          <t>P004</t>
        </is>
      </c>
      <c r="E28" t="n">
        <v>1</v>
      </c>
      <c r="F28" s="14" t="n">
        <v>3995</v>
      </c>
      <c r="G28" s="14" t="n">
        <v>2200</v>
      </c>
      <c r="H28" s="11" t="n">
        <v>0.03</v>
      </c>
      <c r="I28" s="14" t="n">
        <v>3875.15</v>
      </c>
      <c r="J28" s="14" t="n">
        <v>2200</v>
      </c>
      <c r="K28" s="14" t="n">
        <v>1675.15</v>
      </c>
      <c r="L28" t="inlineStr">
        <is>
          <t>Cash</t>
        </is>
      </c>
      <c r="M28" t="inlineStr">
        <is>
          <t>Completed</t>
        </is>
      </c>
      <c r="N28" t="inlineStr">
        <is>
          <t>Website</t>
        </is>
      </c>
    </row>
    <row r="29">
      <c r="A29" t="inlineStr">
        <is>
          <t>ORD00028</t>
        </is>
      </c>
      <c r="B29" s="13" t="n">
        <v>46107</v>
      </c>
      <c r="C29" t="inlineStr">
        <is>
          <t>C009</t>
        </is>
      </c>
      <c r="D29" t="inlineStr">
        <is>
          <t>P007</t>
        </is>
      </c>
      <c r="E29" t="n">
        <v>1</v>
      </c>
      <c r="F29" s="14" t="n">
        <v>5295</v>
      </c>
      <c r="G29" s="14" t="n">
        <v>3300</v>
      </c>
      <c r="H29" s="11" t="n">
        <v>0.03</v>
      </c>
      <c r="I29" s="14" t="n">
        <v>5136.15</v>
      </c>
      <c r="J29" s="14" t="n">
        <v>3300</v>
      </c>
      <c r="K29" s="14" t="n">
        <v>1836.15</v>
      </c>
      <c r="L29" t="inlineStr">
        <is>
          <t>Maya</t>
        </is>
      </c>
      <c r="M29" t="inlineStr">
        <is>
          <t>Completed</t>
        </is>
      </c>
      <c r="N29" t="inlineStr">
        <is>
          <t>Walk-in</t>
        </is>
      </c>
    </row>
    <row r="30">
      <c r="A30" t="inlineStr">
        <is>
          <t>ORD00029</t>
        </is>
      </c>
      <c r="B30" s="13" t="n">
        <v>46102</v>
      </c>
      <c r="C30" t="inlineStr">
        <is>
          <t>C019</t>
        </is>
      </c>
      <c r="D30" t="inlineStr">
        <is>
          <t>P004</t>
        </is>
      </c>
      <c r="E30" t="n">
        <v>1</v>
      </c>
      <c r="F30" s="14" t="n">
        <v>3995</v>
      </c>
      <c r="G30" s="14" t="n">
        <v>2200</v>
      </c>
      <c r="H30" s="11" t="n">
        <v>0</v>
      </c>
      <c r="I30" s="14" t="n">
        <v>3995</v>
      </c>
      <c r="J30" s="14" t="n">
        <v>2200</v>
      </c>
      <c r="K30" s="14" t="n">
        <v>1795</v>
      </c>
      <c r="L30" t="inlineStr">
        <is>
          <t>GCash</t>
        </is>
      </c>
      <c r="M30" t="inlineStr">
        <is>
          <t>Completed</t>
        </is>
      </c>
      <c r="N30" t="inlineStr">
        <is>
          <t>Website</t>
        </is>
      </c>
    </row>
    <row r="31">
      <c r="A31" t="inlineStr">
        <is>
          <t>ORD00030</t>
        </is>
      </c>
      <c r="B31" s="13" t="n">
        <v>46048</v>
      </c>
      <c r="C31" t="inlineStr">
        <is>
          <t>C006</t>
        </is>
      </c>
      <c r="D31" t="inlineStr">
        <is>
          <t>P010</t>
        </is>
      </c>
      <c r="E31" t="n">
        <v>1</v>
      </c>
      <c r="F31" s="14" t="n">
        <v>4495</v>
      </c>
      <c r="G31" s="14" t="n">
        <v>2600</v>
      </c>
      <c r="H31" s="11" t="n">
        <v>0.05</v>
      </c>
      <c r="I31" s="14" t="n">
        <v>4270.25</v>
      </c>
      <c r="J31" s="14" t="n">
        <v>2600</v>
      </c>
      <c r="K31" s="14" t="n">
        <v>1670.25</v>
      </c>
      <c r="L31" t="inlineStr">
        <is>
          <t>GCash</t>
        </is>
      </c>
      <c r="M31" t="inlineStr">
        <is>
          <t>Completed</t>
        </is>
      </c>
      <c r="N31" t="inlineStr">
        <is>
          <t>Website</t>
        </is>
      </c>
    </row>
    <row r="32">
      <c r="A32" t="inlineStr">
        <is>
          <t>ORD00031</t>
        </is>
      </c>
      <c r="B32" s="13" t="n">
        <v>46118</v>
      </c>
      <c r="C32" t="inlineStr">
        <is>
          <t>C028</t>
        </is>
      </c>
      <c r="D32" t="inlineStr">
        <is>
          <t>P002</t>
        </is>
      </c>
      <c r="E32" t="n">
        <v>1</v>
      </c>
      <c r="F32" s="14" t="n">
        <v>5495</v>
      </c>
      <c r="G32" s="14" t="n">
        <v>3500</v>
      </c>
      <c r="H32" s="11" t="n">
        <v>0.1</v>
      </c>
      <c r="I32" s="14" t="n">
        <v>4945.5</v>
      </c>
      <c r="J32" s="14" t="n">
        <v>3500</v>
      </c>
      <c r="K32" s="14" t="n">
        <v>1445.5</v>
      </c>
      <c r="L32" t="inlineStr">
        <is>
          <t>Cash</t>
        </is>
      </c>
      <c r="M32" t="inlineStr">
        <is>
          <t>Completed</t>
        </is>
      </c>
      <c r="N32" t="inlineStr">
        <is>
          <t>Facebook</t>
        </is>
      </c>
    </row>
    <row r="33">
      <c r="A33" t="inlineStr">
        <is>
          <t>ORD00032</t>
        </is>
      </c>
      <c r="B33" s="13" t="n">
        <v>46043</v>
      </c>
      <c r="C33" t="inlineStr">
        <is>
          <t>C019</t>
        </is>
      </c>
      <c r="D33" t="inlineStr">
        <is>
          <t>P010</t>
        </is>
      </c>
      <c r="E33" t="n">
        <v>1</v>
      </c>
      <c r="F33" s="14" t="n">
        <v>4495</v>
      </c>
      <c r="G33" s="14" t="n">
        <v>2600</v>
      </c>
      <c r="H33" s="11" t="n">
        <v>0.1</v>
      </c>
      <c r="I33" s="14" t="n">
        <v>4045.5</v>
      </c>
      <c r="J33" s="14" t="n">
        <v>2600</v>
      </c>
      <c r="K33" s="14" t="n">
        <v>1445.5</v>
      </c>
      <c r="L33" t="inlineStr">
        <is>
          <t>Card</t>
        </is>
      </c>
      <c r="M33" t="inlineStr">
        <is>
          <t>Completed</t>
        </is>
      </c>
      <c r="N33" t="inlineStr">
        <is>
          <t>Facebook</t>
        </is>
      </c>
    </row>
    <row r="34">
      <c r="A34" t="inlineStr">
        <is>
          <t>ORD00033</t>
        </is>
      </c>
      <c r="B34" s="13" t="n">
        <v>46183</v>
      </c>
      <c r="C34" t="inlineStr">
        <is>
          <t>C022</t>
        </is>
      </c>
      <c r="D34" t="inlineStr">
        <is>
          <t>P004</t>
        </is>
      </c>
      <c r="E34" t="n">
        <v>1</v>
      </c>
      <c r="F34" s="14" t="n">
        <v>3995</v>
      </c>
      <c r="G34" s="14" t="n">
        <v>2200</v>
      </c>
      <c r="H34" s="11" t="n">
        <v>0</v>
      </c>
      <c r="I34" s="14" t="n">
        <v>3995</v>
      </c>
      <c r="J34" s="14" t="n">
        <v>2200</v>
      </c>
      <c r="K34" s="14" t="n">
        <v>1795</v>
      </c>
      <c r="L34" t="inlineStr">
        <is>
          <t>Card</t>
        </is>
      </c>
      <c r="M34" t="inlineStr">
        <is>
          <t>Completed</t>
        </is>
      </c>
      <c r="N34" t="inlineStr">
        <is>
          <t>Website</t>
        </is>
      </c>
    </row>
    <row r="35">
      <c r="A35" t="inlineStr">
        <is>
          <t>ORD00034</t>
        </is>
      </c>
      <c r="B35" s="13" t="n">
        <v>46027</v>
      </c>
      <c r="C35" t="inlineStr">
        <is>
          <t>C004</t>
        </is>
      </c>
      <c r="D35" t="inlineStr">
        <is>
          <t>P008</t>
        </is>
      </c>
      <c r="E35" t="n">
        <v>2</v>
      </c>
      <c r="F35" s="14" t="n">
        <v>4595</v>
      </c>
      <c r="G35" s="14" t="n">
        <v>2800</v>
      </c>
      <c r="H35" s="11" t="n">
        <v>0.05</v>
      </c>
      <c r="I35" s="14" t="n">
        <v>8730.5</v>
      </c>
      <c r="J35" s="14" t="n">
        <v>5600</v>
      </c>
      <c r="K35" s="14" t="n">
        <v>3130.5</v>
      </c>
      <c r="L35" t="inlineStr">
        <is>
          <t>GCash</t>
        </is>
      </c>
      <c r="M35" t="inlineStr">
        <is>
          <t>Completed</t>
        </is>
      </c>
      <c r="N35" t="inlineStr">
        <is>
          <t>TikTok</t>
        </is>
      </c>
    </row>
    <row r="36">
      <c r="A36" t="inlineStr">
        <is>
          <t>ORD00035</t>
        </is>
      </c>
      <c r="B36" s="13" t="n">
        <v>46090</v>
      </c>
      <c r="C36" t="inlineStr">
        <is>
          <t>C012</t>
        </is>
      </c>
      <c r="D36" t="inlineStr">
        <is>
          <t>P006</t>
        </is>
      </c>
      <c r="E36" t="n">
        <v>3</v>
      </c>
      <c r="F36" s="14" t="n">
        <v>6295</v>
      </c>
      <c r="G36" s="14" t="n">
        <v>3900</v>
      </c>
      <c r="H36" s="11" t="n">
        <v>0</v>
      </c>
      <c r="I36" s="14" t="n">
        <v>18885</v>
      </c>
      <c r="J36" s="14" t="n">
        <v>11700</v>
      </c>
      <c r="K36" s="14" t="n">
        <v>7185</v>
      </c>
      <c r="L36" t="inlineStr">
        <is>
          <t>Card</t>
        </is>
      </c>
      <c r="M36" t="inlineStr">
        <is>
          <t>Completed</t>
        </is>
      </c>
      <c r="N36" t="inlineStr">
        <is>
          <t>TikTok</t>
        </is>
      </c>
    </row>
    <row r="37">
      <c r="A37" t="inlineStr">
        <is>
          <t>ORD00036</t>
        </is>
      </c>
      <c r="B37" s="13" t="n">
        <v>46293</v>
      </c>
      <c r="C37" t="inlineStr">
        <is>
          <t>C010</t>
        </is>
      </c>
      <c r="D37" t="inlineStr">
        <is>
          <t>P001</t>
        </is>
      </c>
      <c r="E37" t="n">
        <v>2</v>
      </c>
      <c r="F37" s="14" t="n">
        <v>4995</v>
      </c>
      <c r="G37" s="14" t="n">
        <v>3200</v>
      </c>
      <c r="H37" s="11" t="n">
        <v>0.05</v>
      </c>
      <c r="I37" s="14" t="n">
        <v>9490.5</v>
      </c>
      <c r="J37" s="14" t="n">
        <v>6400</v>
      </c>
      <c r="K37" s="14" t="n">
        <v>3090.5</v>
      </c>
      <c r="L37" t="inlineStr">
        <is>
          <t>GCash</t>
        </is>
      </c>
      <c r="M37" t="inlineStr">
        <is>
          <t>Completed</t>
        </is>
      </c>
      <c r="N37" t="inlineStr">
        <is>
          <t>Facebook</t>
        </is>
      </c>
    </row>
    <row r="38">
      <c r="A38" t="inlineStr">
        <is>
          <t>ORD00037</t>
        </is>
      </c>
      <c r="B38" s="13" t="n">
        <v>46158</v>
      </c>
      <c r="C38" t="inlineStr">
        <is>
          <t>C018</t>
        </is>
      </c>
      <c r="D38" t="inlineStr">
        <is>
          <t>P002</t>
        </is>
      </c>
      <c r="E38" t="n">
        <v>3</v>
      </c>
      <c r="F38" s="14" t="n">
        <v>5495</v>
      </c>
      <c r="G38" s="14" t="n">
        <v>3500</v>
      </c>
      <c r="H38" s="11" t="n">
        <v>0.1</v>
      </c>
      <c r="I38" s="14" t="n">
        <v>14836.5</v>
      </c>
      <c r="J38" s="14" t="n">
        <v>10500</v>
      </c>
      <c r="K38" s="14" t="n">
        <v>4336.5</v>
      </c>
      <c r="L38" t="inlineStr">
        <is>
          <t>Cash</t>
        </is>
      </c>
      <c r="M38" t="inlineStr">
        <is>
          <t>Completed</t>
        </is>
      </c>
      <c r="N38" t="inlineStr">
        <is>
          <t>Facebook</t>
        </is>
      </c>
    </row>
    <row r="39">
      <c r="A39" t="inlineStr">
        <is>
          <t>ORD00038</t>
        </is>
      </c>
      <c r="B39" s="13" t="n">
        <v>46198</v>
      </c>
      <c r="C39" t="inlineStr">
        <is>
          <t>C017</t>
        </is>
      </c>
      <c r="D39" t="inlineStr">
        <is>
          <t>P004</t>
        </is>
      </c>
      <c r="E39" t="n">
        <v>2</v>
      </c>
      <c r="F39" s="14" t="n">
        <v>3995</v>
      </c>
      <c r="G39" s="14" t="n">
        <v>2200</v>
      </c>
      <c r="H39" s="11" t="n">
        <v>0</v>
      </c>
      <c r="I39" s="14" t="n">
        <v>7990</v>
      </c>
      <c r="J39" s="14" t="n">
        <v>4400</v>
      </c>
      <c r="K39" s="14" t="n">
        <v>3590</v>
      </c>
      <c r="L39" t="inlineStr">
        <is>
          <t>Maya</t>
        </is>
      </c>
      <c r="M39" t="inlineStr">
        <is>
          <t>Completed</t>
        </is>
      </c>
      <c r="N39" t="inlineStr">
        <is>
          <t>Website</t>
        </is>
      </c>
    </row>
    <row r="40">
      <c r="A40" t="inlineStr">
        <is>
          <t>ORD00039</t>
        </is>
      </c>
      <c r="B40" s="13" t="n">
        <v>46070</v>
      </c>
      <c r="C40" t="inlineStr">
        <is>
          <t>C002</t>
        </is>
      </c>
      <c r="D40" t="inlineStr">
        <is>
          <t>P011</t>
        </is>
      </c>
      <c r="E40" t="n">
        <v>1</v>
      </c>
      <c r="F40" s="14" t="n">
        <v>1495</v>
      </c>
      <c r="G40" s="14" t="n">
        <v>850</v>
      </c>
      <c r="H40" s="11" t="n">
        <v>0</v>
      </c>
      <c r="I40" s="14" t="n">
        <v>1495</v>
      </c>
      <c r="J40" s="14" t="n">
        <v>850</v>
      </c>
      <c r="K40" s="14" t="n">
        <v>645</v>
      </c>
      <c r="L40" t="inlineStr">
        <is>
          <t>GCash</t>
        </is>
      </c>
      <c r="M40" t="inlineStr">
        <is>
          <t>Completed</t>
        </is>
      </c>
      <c r="N40" t="inlineStr">
        <is>
          <t>Facebook</t>
        </is>
      </c>
    </row>
    <row r="41">
      <c r="A41" t="inlineStr">
        <is>
          <t>ORD00040</t>
        </is>
      </c>
      <c r="B41" s="13" t="n">
        <v>46157</v>
      </c>
      <c r="C41" t="inlineStr">
        <is>
          <t>C023</t>
        </is>
      </c>
      <c r="D41" t="inlineStr">
        <is>
          <t>P003</t>
        </is>
      </c>
      <c r="E41" t="n">
        <v>2</v>
      </c>
      <c r="F41" s="14" t="n">
        <v>5995</v>
      </c>
      <c r="G41" s="14" t="n">
        <v>3800</v>
      </c>
      <c r="H41" s="11" t="n">
        <v>0.05</v>
      </c>
      <c r="I41" s="14" t="n">
        <v>11390.5</v>
      </c>
      <c r="J41" s="14" t="n">
        <v>7600</v>
      </c>
      <c r="K41" s="14" t="n">
        <v>3790.5</v>
      </c>
      <c r="L41" t="inlineStr">
        <is>
          <t>Maya</t>
        </is>
      </c>
      <c r="M41" t="inlineStr">
        <is>
          <t>Completed</t>
        </is>
      </c>
      <c r="N41" t="inlineStr">
        <is>
          <t>Website</t>
        </is>
      </c>
    </row>
    <row r="42">
      <c r="A42" t="inlineStr">
        <is>
          <t>ORD00041</t>
        </is>
      </c>
      <c r="B42" s="13" t="n">
        <v>46061</v>
      </c>
      <c r="C42" t="inlineStr">
        <is>
          <t>C002</t>
        </is>
      </c>
      <c r="D42" t="inlineStr">
        <is>
          <t>P012</t>
        </is>
      </c>
      <c r="E42" t="n">
        <v>3</v>
      </c>
      <c r="F42" s="14" t="n">
        <v>1595</v>
      </c>
      <c r="G42" s="14" t="n">
        <v>900</v>
      </c>
      <c r="H42" s="11" t="n">
        <v>0.05</v>
      </c>
      <c r="I42" s="14" t="n">
        <v>4545.75</v>
      </c>
      <c r="J42" s="14" t="n">
        <v>2700</v>
      </c>
      <c r="K42" s="14" t="n">
        <v>1845.75</v>
      </c>
      <c r="L42" t="inlineStr">
        <is>
          <t>Card</t>
        </is>
      </c>
      <c r="M42" t="inlineStr">
        <is>
          <t>Completed</t>
        </is>
      </c>
      <c r="N42" t="inlineStr">
        <is>
          <t>Facebook</t>
        </is>
      </c>
    </row>
    <row r="43">
      <c r="A43" t="inlineStr">
        <is>
          <t>ORD00042</t>
        </is>
      </c>
      <c r="B43" s="13" t="n">
        <v>46243</v>
      </c>
      <c r="C43" t="inlineStr">
        <is>
          <t>C029</t>
        </is>
      </c>
      <c r="D43" t="inlineStr">
        <is>
          <t>P003</t>
        </is>
      </c>
      <c r="E43" t="n">
        <v>1</v>
      </c>
      <c r="F43" s="14" t="n">
        <v>5995</v>
      </c>
      <c r="G43" s="14" t="n">
        <v>3800</v>
      </c>
      <c r="H43" s="11" t="n">
        <v>0</v>
      </c>
      <c r="I43" s="14" t="n">
        <v>5995</v>
      </c>
      <c r="J43" s="14" t="n">
        <v>3800</v>
      </c>
      <c r="K43" s="14" t="n">
        <v>2195</v>
      </c>
      <c r="L43" t="inlineStr">
        <is>
          <t>GCash</t>
        </is>
      </c>
      <c r="M43" t="inlineStr">
        <is>
          <t>Completed</t>
        </is>
      </c>
      <c r="N43" t="inlineStr">
        <is>
          <t>Facebook</t>
        </is>
      </c>
    </row>
    <row r="44">
      <c r="A44" t="inlineStr">
        <is>
          <t>ORD00043</t>
        </is>
      </c>
      <c r="B44" s="13" t="n">
        <v>46150</v>
      </c>
      <c r="C44" t="inlineStr">
        <is>
          <t>C029</t>
        </is>
      </c>
      <c r="D44" t="inlineStr">
        <is>
          <t>P011</t>
        </is>
      </c>
      <c r="E44" t="n">
        <v>1</v>
      </c>
      <c r="F44" s="14" t="n">
        <v>1495</v>
      </c>
      <c r="G44" s="14" t="n">
        <v>850</v>
      </c>
      <c r="H44" s="11" t="n">
        <v>0.05</v>
      </c>
      <c r="I44" s="14" t="n">
        <v>1420.25</v>
      </c>
      <c r="J44" s="14" t="n">
        <v>850</v>
      </c>
      <c r="K44" s="14" t="n">
        <v>570.25</v>
      </c>
      <c r="L44" t="inlineStr">
        <is>
          <t>Maya</t>
        </is>
      </c>
      <c r="M44" t="inlineStr">
        <is>
          <t>Completed</t>
        </is>
      </c>
      <c r="N44" t="inlineStr">
        <is>
          <t>Facebook</t>
        </is>
      </c>
    </row>
    <row r="45">
      <c r="A45" t="inlineStr">
        <is>
          <t>ORD00044</t>
        </is>
      </c>
      <c r="B45" s="13" t="n">
        <v>46144</v>
      </c>
      <c r="C45" t="inlineStr">
        <is>
          <t>C029</t>
        </is>
      </c>
      <c r="D45" t="inlineStr">
        <is>
          <t>P003</t>
        </is>
      </c>
      <c r="E45" t="n">
        <v>4</v>
      </c>
      <c r="F45" s="14" t="n">
        <v>5995</v>
      </c>
      <c r="G45" s="14" t="n">
        <v>3800</v>
      </c>
      <c r="H45" s="11" t="n">
        <v>0</v>
      </c>
      <c r="I45" s="14" t="n">
        <v>23980</v>
      </c>
      <c r="J45" s="14" t="n">
        <v>15200</v>
      </c>
      <c r="K45" s="14" t="n">
        <v>8780</v>
      </c>
      <c r="L45" t="inlineStr">
        <is>
          <t>Maya</t>
        </is>
      </c>
      <c r="M45" t="inlineStr">
        <is>
          <t>Completed</t>
        </is>
      </c>
      <c r="N45" t="inlineStr">
        <is>
          <t>TikTok</t>
        </is>
      </c>
    </row>
    <row r="46">
      <c r="A46" t="inlineStr">
        <is>
          <t>ORD00045</t>
        </is>
      </c>
      <c r="B46" s="13" t="n">
        <v>46233</v>
      </c>
      <c r="C46" t="inlineStr">
        <is>
          <t>C009</t>
        </is>
      </c>
      <c r="D46" t="inlineStr">
        <is>
          <t>P011</t>
        </is>
      </c>
      <c r="E46" t="n">
        <v>2</v>
      </c>
      <c r="F46" s="14" t="n">
        <v>1495</v>
      </c>
      <c r="G46" s="14" t="n">
        <v>850</v>
      </c>
      <c r="H46" s="11" t="n">
        <v>0</v>
      </c>
      <c r="I46" s="14" t="n">
        <v>2990</v>
      </c>
      <c r="J46" s="14" t="n">
        <v>1700</v>
      </c>
      <c r="K46" s="14" t="n">
        <v>1290</v>
      </c>
      <c r="L46" t="inlineStr">
        <is>
          <t>Cash</t>
        </is>
      </c>
      <c r="M46" t="inlineStr">
        <is>
          <t>Completed</t>
        </is>
      </c>
      <c r="N46" t="inlineStr">
        <is>
          <t>Website</t>
        </is>
      </c>
    </row>
    <row r="47">
      <c r="A47" t="inlineStr">
        <is>
          <t>ORD00046</t>
        </is>
      </c>
      <c r="B47" s="13" t="n">
        <v>46218</v>
      </c>
      <c r="C47" t="inlineStr">
        <is>
          <t>C007</t>
        </is>
      </c>
      <c r="D47" t="inlineStr">
        <is>
          <t>P001</t>
        </is>
      </c>
      <c r="E47" t="n">
        <v>2</v>
      </c>
      <c r="F47" s="14" t="n">
        <v>4995</v>
      </c>
      <c r="G47" s="14" t="n">
        <v>3200</v>
      </c>
      <c r="H47" s="11" t="n">
        <v>0</v>
      </c>
      <c r="I47" s="14" t="n">
        <v>9990</v>
      </c>
      <c r="J47" s="14" t="n">
        <v>6400</v>
      </c>
      <c r="K47" s="14" t="n">
        <v>3590</v>
      </c>
      <c r="L47" t="inlineStr">
        <is>
          <t>Maya</t>
        </is>
      </c>
      <c r="M47" t="inlineStr">
        <is>
          <t>Completed</t>
        </is>
      </c>
      <c r="N47" t="inlineStr">
        <is>
          <t>Facebook</t>
        </is>
      </c>
    </row>
    <row r="48">
      <c r="A48" t="inlineStr">
        <is>
          <t>ORD00047</t>
        </is>
      </c>
      <c r="B48" s="13" t="n">
        <v>46137</v>
      </c>
      <c r="C48" t="inlineStr">
        <is>
          <t>C011</t>
        </is>
      </c>
      <c r="D48" t="inlineStr">
        <is>
          <t>P001</t>
        </is>
      </c>
      <c r="E48" t="n">
        <v>2</v>
      </c>
      <c r="F48" s="14" t="n">
        <v>4995</v>
      </c>
      <c r="G48" s="14" t="n">
        <v>3200</v>
      </c>
      <c r="H48" s="11" t="n">
        <v>0.03</v>
      </c>
      <c r="I48" s="14" t="n">
        <v>9690.299999999999</v>
      </c>
      <c r="J48" s="14" t="n">
        <v>6400</v>
      </c>
      <c r="K48" s="14" t="n">
        <v>3290.299999999999</v>
      </c>
      <c r="L48" t="inlineStr">
        <is>
          <t>Card</t>
        </is>
      </c>
      <c r="M48" t="inlineStr">
        <is>
          <t>Completed</t>
        </is>
      </c>
      <c r="N48" t="inlineStr">
        <is>
          <t>TikTok</t>
        </is>
      </c>
    </row>
    <row r="49">
      <c r="A49" t="inlineStr">
        <is>
          <t>ORD00048</t>
        </is>
      </c>
      <c r="B49" s="13" t="n">
        <v>46202</v>
      </c>
      <c r="C49" t="inlineStr">
        <is>
          <t>C027</t>
        </is>
      </c>
      <c r="D49" t="inlineStr">
        <is>
          <t>P011</t>
        </is>
      </c>
      <c r="E49" t="n">
        <v>1</v>
      </c>
      <c r="F49" s="14" t="n">
        <v>1495</v>
      </c>
      <c r="G49" s="14" t="n">
        <v>850</v>
      </c>
      <c r="H49" s="11" t="n">
        <v>0.1</v>
      </c>
      <c r="I49" s="14" t="n">
        <v>1345.5</v>
      </c>
      <c r="J49" s="14" t="n">
        <v>850</v>
      </c>
      <c r="K49" s="14" t="n">
        <v>495.5</v>
      </c>
      <c r="L49" t="inlineStr">
        <is>
          <t>Card</t>
        </is>
      </c>
      <c r="M49" t="inlineStr">
        <is>
          <t>Completed</t>
        </is>
      </c>
      <c r="N49" t="inlineStr">
        <is>
          <t>Website</t>
        </is>
      </c>
    </row>
    <row r="50">
      <c r="A50" t="inlineStr">
        <is>
          <t>ORD00049</t>
        </is>
      </c>
      <c r="B50" s="13" t="n">
        <v>46156</v>
      </c>
      <c r="C50" t="inlineStr">
        <is>
          <t>C002</t>
        </is>
      </c>
      <c r="D50" t="inlineStr">
        <is>
          <t>P003</t>
        </is>
      </c>
      <c r="E50" t="n">
        <v>1</v>
      </c>
      <c r="F50" s="14" t="n">
        <v>5995</v>
      </c>
      <c r="G50" s="14" t="n">
        <v>3800</v>
      </c>
      <c r="H50" s="11" t="n">
        <v>0</v>
      </c>
      <c r="I50" s="14" t="n">
        <v>5995</v>
      </c>
      <c r="J50" s="14" t="n">
        <v>3800</v>
      </c>
      <c r="K50" s="14" t="n">
        <v>2195</v>
      </c>
      <c r="L50" t="inlineStr">
        <is>
          <t>GCash</t>
        </is>
      </c>
      <c r="M50" t="inlineStr">
        <is>
          <t>Completed</t>
        </is>
      </c>
      <c r="N50" t="inlineStr">
        <is>
          <t>TikTok</t>
        </is>
      </c>
    </row>
    <row r="51">
      <c r="A51" t="inlineStr">
        <is>
          <t>ORD00050</t>
        </is>
      </c>
      <c r="B51" s="13" t="n">
        <v>46183</v>
      </c>
      <c r="C51" t="inlineStr">
        <is>
          <t>C004</t>
        </is>
      </c>
      <c r="D51" t="inlineStr">
        <is>
          <t>P007</t>
        </is>
      </c>
      <c r="E51" t="n">
        <v>2</v>
      </c>
      <c r="F51" s="14" t="n">
        <v>5295</v>
      </c>
      <c r="G51" s="14" t="n">
        <v>3300</v>
      </c>
      <c r="H51" s="11" t="n">
        <v>0.05</v>
      </c>
      <c r="I51" s="14" t="n">
        <v>10060.5</v>
      </c>
      <c r="J51" s="14" t="n">
        <v>6600</v>
      </c>
      <c r="K51" s="14" t="n">
        <v>3460.5</v>
      </c>
      <c r="L51" t="inlineStr">
        <is>
          <t>Maya</t>
        </is>
      </c>
      <c r="M51" t="inlineStr">
        <is>
          <t>Completed</t>
        </is>
      </c>
      <c r="N51" t="inlineStr">
        <is>
          <t>Facebook</t>
        </is>
      </c>
    </row>
    <row r="52">
      <c r="A52" t="inlineStr">
        <is>
          <t>ORD00051</t>
        </is>
      </c>
      <c r="B52" s="13" t="n">
        <v>46153</v>
      </c>
      <c r="C52" t="inlineStr">
        <is>
          <t>C017</t>
        </is>
      </c>
      <c r="D52" t="inlineStr">
        <is>
          <t>P001</t>
        </is>
      </c>
      <c r="E52" t="n">
        <v>2</v>
      </c>
      <c r="F52" s="14" t="n">
        <v>4995</v>
      </c>
      <c r="G52" s="14" t="n">
        <v>3200</v>
      </c>
      <c r="H52" s="11" t="n">
        <v>0</v>
      </c>
      <c r="I52" s="14" t="n">
        <v>9990</v>
      </c>
      <c r="J52" s="14" t="n">
        <v>6400</v>
      </c>
      <c r="K52" s="14" t="n">
        <v>3590</v>
      </c>
      <c r="L52" t="inlineStr">
        <is>
          <t>Cash</t>
        </is>
      </c>
      <c r="M52" t="inlineStr">
        <is>
          <t>Completed</t>
        </is>
      </c>
      <c r="N52" t="inlineStr">
        <is>
          <t>Website</t>
        </is>
      </c>
    </row>
    <row r="53">
      <c r="A53" t="inlineStr">
        <is>
          <t>ORD00052</t>
        </is>
      </c>
      <c r="B53" s="13" t="n">
        <v>46192</v>
      </c>
      <c r="C53" t="inlineStr">
        <is>
          <t>C024</t>
        </is>
      </c>
      <c r="D53" t="inlineStr">
        <is>
          <t>P010</t>
        </is>
      </c>
      <c r="E53" t="n">
        <v>1</v>
      </c>
      <c r="F53" s="14" t="n">
        <v>4495</v>
      </c>
      <c r="G53" s="14" t="n">
        <v>2600</v>
      </c>
      <c r="H53" s="11" t="n">
        <v>0</v>
      </c>
      <c r="I53" s="14" t="n">
        <v>4495</v>
      </c>
      <c r="J53" s="14" t="n">
        <v>2600</v>
      </c>
      <c r="K53" s="14" t="n">
        <v>1895</v>
      </c>
      <c r="L53" t="inlineStr">
        <is>
          <t>Card</t>
        </is>
      </c>
      <c r="M53" t="inlineStr">
        <is>
          <t>Completed</t>
        </is>
      </c>
      <c r="N53" t="inlineStr">
        <is>
          <t>Walk-in</t>
        </is>
      </c>
    </row>
    <row r="54">
      <c r="A54" t="inlineStr">
        <is>
          <t>ORD00053</t>
        </is>
      </c>
      <c r="B54" s="13" t="n">
        <v>46190</v>
      </c>
      <c r="C54" t="inlineStr">
        <is>
          <t>C005</t>
        </is>
      </c>
      <c r="D54" t="inlineStr">
        <is>
          <t>P007</t>
        </is>
      </c>
      <c r="E54" t="n">
        <v>2</v>
      </c>
      <c r="F54" s="14" t="n">
        <v>5295</v>
      </c>
      <c r="G54" s="14" t="n">
        <v>3300</v>
      </c>
      <c r="H54" s="11" t="n">
        <v>0.05</v>
      </c>
      <c r="I54" s="14" t="n">
        <v>10060.5</v>
      </c>
      <c r="J54" s="14" t="n">
        <v>6600</v>
      </c>
      <c r="K54" s="14" t="n">
        <v>3460.5</v>
      </c>
      <c r="L54" t="inlineStr">
        <is>
          <t>Cash</t>
        </is>
      </c>
      <c r="M54" t="inlineStr">
        <is>
          <t>Completed</t>
        </is>
      </c>
      <c r="N54" t="inlineStr">
        <is>
          <t>Walk-in</t>
        </is>
      </c>
    </row>
    <row r="55">
      <c r="A55" t="inlineStr">
        <is>
          <t>ORD00054</t>
        </is>
      </c>
      <c r="B55" s="13" t="n">
        <v>46112</v>
      </c>
      <c r="C55" t="inlineStr">
        <is>
          <t>C018</t>
        </is>
      </c>
      <c r="D55" t="inlineStr">
        <is>
          <t>P010</t>
        </is>
      </c>
      <c r="E55" t="n">
        <v>1</v>
      </c>
      <c r="F55" s="14" t="n">
        <v>4495</v>
      </c>
      <c r="G55" s="14" t="n">
        <v>2600</v>
      </c>
      <c r="H55" s="11" t="n">
        <v>0.03</v>
      </c>
      <c r="I55" s="14" t="n">
        <v>4360.15</v>
      </c>
      <c r="J55" s="14" t="n">
        <v>2600</v>
      </c>
      <c r="K55" s="14" t="n">
        <v>1760.15</v>
      </c>
      <c r="L55" t="inlineStr">
        <is>
          <t>GCash</t>
        </is>
      </c>
      <c r="M55" t="inlineStr">
        <is>
          <t>Completed</t>
        </is>
      </c>
      <c r="N55" t="inlineStr">
        <is>
          <t>Facebook</t>
        </is>
      </c>
    </row>
    <row r="56">
      <c r="A56" t="inlineStr">
        <is>
          <t>ORD00055</t>
        </is>
      </c>
      <c r="B56" s="13" t="n">
        <v>46243</v>
      </c>
      <c r="C56" t="inlineStr">
        <is>
          <t>C015</t>
        </is>
      </c>
      <c r="D56" t="inlineStr">
        <is>
          <t>P010</t>
        </is>
      </c>
      <c r="E56" t="n">
        <v>2</v>
      </c>
      <c r="F56" s="14" t="n">
        <v>4495</v>
      </c>
      <c r="G56" s="14" t="n">
        <v>2600</v>
      </c>
      <c r="H56" s="11" t="n">
        <v>0</v>
      </c>
      <c r="I56" s="14" t="n">
        <v>8990</v>
      </c>
      <c r="J56" s="14" t="n">
        <v>5200</v>
      </c>
      <c r="K56" s="14" t="n">
        <v>3790</v>
      </c>
      <c r="L56" t="inlineStr">
        <is>
          <t>Maya</t>
        </is>
      </c>
      <c r="M56" t="inlineStr">
        <is>
          <t>Completed</t>
        </is>
      </c>
      <c r="N56" t="inlineStr">
        <is>
          <t>Facebook</t>
        </is>
      </c>
    </row>
    <row r="57">
      <c r="A57" t="inlineStr">
        <is>
          <t>ORD00056</t>
        </is>
      </c>
      <c r="B57" s="13" t="n">
        <v>46284</v>
      </c>
      <c r="C57" t="inlineStr">
        <is>
          <t>C006</t>
        </is>
      </c>
      <c r="D57" t="inlineStr">
        <is>
          <t>P008</t>
        </is>
      </c>
      <c r="E57" t="n">
        <v>2</v>
      </c>
      <c r="F57" s="14" t="n">
        <v>4595</v>
      </c>
      <c r="G57" s="14" t="n">
        <v>2800</v>
      </c>
      <c r="H57" s="11" t="n">
        <v>0.1</v>
      </c>
      <c r="I57" s="14" t="n">
        <v>8271</v>
      </c>
      <c r="J57" s="14" t="n">
        <v>5600</v>
      </c>
      <c r="K57" s="14" t="n">
        <v>2671</v>
      </c>
      <c r="L57" t="inlineStr">
        <is>
          <t>GCash</t>
        </is>
      </c>
      <c r="M57" t="inlineStr">
        <is>
          <t>Completed</t>
        </is>
      </c>
      <c r="N57" t="inlineStr">
        <is>
          <t>TikTok</t>
        </is>
      </c>
    </row>
    <row r="58">
      <c r="A58" t="inlineStr">
        <is>
          <t>ORD00057</t>
        </is>
      </c>
      <c r="B58" s="13" t="n">
        <v>46070</v>
      </c>
      <c r="C58" t="inlineStr">
        <is>
          <t>C026</t>
        </is>
      </c>
      <c r="D58" t="inlineStr">
        <is>
          <t>P004</t>
        </is>
      </c>
      <c r="E58" t="n">
        <v>2</v>
      </c>
      <c r="F58" s="14" t="n">
        <v>3995</v>
      </c>
      <c r="G58" s="14" t="n">
        <v>2200</v>
      </c>
      <c r="H58" s="11" t="n">
        <v>0</v>
      </c>
      <c r="I58" s="14" t="n">
        <v>7990</v>
      </c>
      <c r="J58" s="14" t="n">
        <v>4400</v>
      </c>
      <c r="K58" s="14" t="n">
        <v>3590</v>
      </c>
      <c r="L58" t="inlineStr">
        <is>
          <t>Cash</t>
        </is>
      </c>
      <c r="M58" t="inlineStr">
        <is>
          <t>Completed</t>
        </is>
      </c>
      <c r="N58" t="inlineStr">
        <is>
          <t>Website</t>
        </is>
      </c>
    </row>
    <row r="59">
      <c r="A59" t="inlineStr">
        <is>
          <t>ORD00058</t>
        </is>
      </c>
      <c r="B59" s="13" t="n">
        <v>46148</v>
      </c>
      <c r="C59" t="inlineStr">
        <is>
          <t>C015</t>
        </is>
      </c>
      <c r="D59" t="inlineStr">
        <is>
          <t>P008</t>
        </is>
      </c>
      <c r="E59" t="n">
        <v>2</v>
      </c>
      <c r="F59" s="14" t="n">
        <v>4595</v>
      </c>
      <c r="G59" s="14" t="n">
        <v>2800</v>
      </c>
      <c r="H59" s="11" t="n">
        <v>0</v>
      </c>
      <c r="I59" s="14" t="n">
        <v>9190</v>
      </c>
      <c r="J59" s="14" t="n">
        <v>5600</v>
      </c>
      <c r="K59" s="14" t="n">
        <v>3590</v>
      </c>
      <c r="L59" t="inlineStr">
        <is>
          <t>Maya</t>
        </is>
      </c>
      <c r="M59" t="inlineStr">
        <is>
          <t>Completed</t>
        </is>
      </c>
      <c r="N59" t="inlineStr">
        <is>
          <t>Facebook</t>
        </is>
      </c>
    </row>
    <row r="60">
      <c r="A60" t="inlineStr">
        <is>
          <t>ORD00059</t>
        </is>
      </c>
      <c r="B60" s="13" t="n">
        <v>46219</v>
      </c>
      <c r="C60" t="inlineStr">
        <is>
          <t>C021</t>
        </is>
      </c>
      <c r="D60" t="inlineStr">
        <is>
          <t>P008</t>
        </is>
      </c>
      <c r="E60" t="n">
        <v>1</v>
      </c>
      <c r="F60" s="14" t="n">
        <v>4595</v>
      </c>
      <c r="G60" s="14" t="n">
        <v>2800</v>
      </c>
      <c r="H60" s="11" t="n">
        <v>0</v>
      </c>
      <c r="I60" s="14" t="n">
        <v>4595</v>
      </c>
      <c r="J60" s="14" t="n">
        <v>2800</v>
      </c>
      <c r="K60" s="14" t="n">
        <v>1795</v>
      </c>
      <c r="L60" t="inlineStr">
        <is>
          <t>GCash</t>
        </is>
      </c>
      <c r="M60" t="inlineStr">
        <is>
          <t>Completed</t>
        </is>
      </c>
      <c r="N60" t="inlineStr">
        <is>
          <t>Website</t>
        </is>
      </c>
    </row>
    <row r="61">
      <c r="A61" t="inlineStr">
        <is>
          <t>ORD00060</t>
        </is>
      </c>
      <c r="B61" s="13" t="n">
        <v>46240</v>
      </c>
      <c r="C61" t="inlineStr">
        <is>
          <t>C017</t>
        </is>
      </c>
      <c r="D61" t="inlineStr">
        <is>
          <t>P004</t>
        </is>
      </c>
      <c r="E61" t="n">
        <v>1</v>
      </c>
      <c r="F61" s="14" t="n">
        <v>3995</v>
      </c>
      <c r="G61" s="14" t="n">
        <v>2200</v>
      </c>
      <c r="H61" s="11" t="n">
        <v>0.1</v>
      </c>
      <c r="I61" s="14" t="n">
        <v>3595.5</v>
      </c>
      <c r="J61" s="14" t="n">
        <v>2200</v>
      </c>
      <c r="K61" s="14" t="n">
        <v>1395.5</v>
      </c>
      <c r="L61" t="inlineStr">
        <is>
          <t>Maya</t>
        </is>
      </c>
      <c r="M61" t="inlineStr">
        <is>
          <t>Completed</t>
        </is>
      </c>
      <c r="N61" t="inlineStr">
        <is>
          <t>Facebook</t>
        </is>
      </c>
    </row>
    <row r="62">
      <c r="A62" t="inlineStr">
        <is>
          <t>ORD00061</t>
        </is>
      </c>
      <c r="B62" s="13" t="n">
        <v>46085</v>
      </c>
      <c r="C62" t="inlineStr">
        <is>
          <t>C022</t>
        </is>
      </c>
      <c r="D62" t="inlineStr">
        <is>
          <t>P008</t>
        </is>
      </c>
      <c r="E62" t="n">
        <v>1</v>
      </c>
      <c r="F62" s="14" t="n">
        <v>4595</v>
      </c>
      <c r="G62" s="14" t="n">
        <v>2800</v>
      </c>
      <c r="H62" s="11" t="n">
        <v>0.03</v>
      </c>
      <c r="I62" s="14" t="n">
        <v>4457.15</v>
      </c>
      <c r="J62" s="14" t="n">
        <v>2800</v>
      </c>
      <c r="K62" s="14" t="n">
        <v>1657.15</v>
      </c>
      <c r="L62" t="inlineStr">
        <is>
          <t>Card</t>
        </is>
      </c>
      <c r="M62" t="inlineStr">
        <is>
          <t>Completed</t>
        </is>
      </c>
      <c r="N62" t="inlineStr">
        <is>
          <t>Walk-in</t>
        </is>
      </c>
    </row>
    <row r="63">
      <c r="A63" t="inlineStr">
        <is>
          <t>ORD00062</t>
        </is>
      </c>
      <c r="B63" s="13" t="n">
        <v>46281</v>
      </c>
      <c r="C63" t="inlineStr">
        <is>
          <t>C015</t>
        </is>
      </c>
      <c r="D63" t="inlineStr">
        <is>
          <t>P007</t>
        </is>
      </c>
      <c r="E63" t="n">
        <v>2</v>
      </c>
      <c r="F63" s="14" t="n">
        <v>5295</v>
      </c>
      <c r="G63" s="14" t="n">
        <v>3300</v>
      </c>
      <c r="H63" s="11" t="n">
        <v>0.05</v>
      </c>
      <c r="I63" s="14" t="n">
        <v>10060.5</v>
      </c>
      <c r="J63" s="14" t="n">
        <v>6600</v>
      </c>
      <c r="K63" s="14" t="n">
        <v>3460.5</v>
      </c>
      <c r="L63" t="inlineStr">
        <is>
          <t>Cash</t>
        </is>
      </c>
      <c r="M63" t="inlineStr">
        <is>
          <t>Completed</t>
        </is>
      </c>
      <c r="N63" t="inlineStr">
        <is>
          <t>Walk-in</t>
        </is>
      </c>
    </row>
    <row r="64">
      <c r="A64" t="inlineStr">
        <is>
          <t>ORD00063</t>
        </is>
      </c>
      <c r="B64" s="13" t="n">
        <v>46253</v>
      </c>
      <c r="C64" t="inlineStr">
        <is>
          <t>C009</t>
        </is>
      </c>
      <c r="D64" t="inlineStr">
        <is>
          <t>P005</t>
        </is>
      </c>
      <c r="E64" t="n">
        <v>2</v>
      </c>
      <c r="F64" s="14" t="n">
        <v>3695</v>
      </c>
      <c r="G64" s="14" t="n">
        <v>2100</v>
      </c>
      <c r="H64" s="11" t="n">
        <v>0.1</v>
      </c>
      <c r="I64" s="14" t="n">
        <v>6651</v>
      </c>
      <c r="J64" s="14" t="n">
        <v>4200</v>
      </c>
      <c r="K64" s="14" t="n">
        <v>2451</v>
      </c>
      <c r="L64" t="inlineStr">
        <is>
          <t>Maya</t>
        </is>
      </c>
      <c r="M64" t="inlineStr">
        <is>
          <t>Completed</t>
        </is>
      </c>
      <c r="N64" t="inlineStr">
        <is>
          <t>TikTok</t>
        </is>
      </c>
    </row>
    <row r="65">
      <c r="A65" t="inlineStr">
        <is>
          <t>ORD00064</t>
        </is>
      </c>
      <c r="B65" s="13" t="n">
        <v>46248</v>
      </c>
      <c r="C65" t="inlineStr">
        <is>
          <t>C009</t>
        </is>
      </c>
      <c r="D65" t="inlineStr">
        <is>
          <t>P002</t>
        </is>
      </c>
      <c r="E65" t="n">
        <v>2</v>
      </c>
      <c r="F65" s="14" t="n">
        <v>5495</v>
      </c>
      <c r="G65" s="14" t="n">
        <v>3500</v>
      </c>
      <c r="H65" s="11" t="n">
        <v>0</v>
      </c>
      <c r="I65" s="14" t="n">
        <v>10990</v>
      </c>
      <c r="J65" s="14" t="n">
        <v>7000</v>
      </c>
      <c r="K65" s="14" t="n">
        <v>3990</v>
      </c>
      <c r="L65" t="inlineStr">
        <is>
          <t>Card</t>
        </is>
      </c>
      <c r="M65" t="inlineStr">
        <is>
          <t>Completed</t>
        </is>
      </c>
      <c r="N65" t="inlineStr">
        <is>
          <t>Website</t>
        </is>
      </c>
    </row>
    <row r="66">
      <c r="A66" t="inlineStr">
        <is>
          <t>ORD00065</t>
        </is>
      </c>
      <c r="B66" s="13" t="n">
        <v>46093</v>
      </c>
      <c r="C66" t="inlineStr">
        <is>
          <t>C005</t>
        </is>
      </c>
      <c r="D66" t="inlineStr">
        <is>
          <t>P003</t>
        </is>
      </c>
      <c r="E66" t="n">
        <v>1</v>
      </c>
      <c r="F66" s="14" t="n">
        <v>5995</v>
      </c>
      <c r="G66" s="14" t="n">
        <v>3800</v>
      </c>
      <c r="H66" s="11" t="n">
        <v>0.1</v>
      </c>
      <c r="I66" s="14" t="n">
        <v>5395.5</v>
      </c>
      <c r="J66" s="14" t="n">
        <v>3800</v>
      </c>
      <c r="K66" s="14" t="n">
        <v>1595.5</v>
      </c>
      <c r="L66" t="inlineStr">
        <is>
          <t>Cash</t>
        </is>
      </c>
      <c r="M66" t="inlineStr">
        <is>
          <t>Completed</t>
        </is>
      </c>
      <c r="N66" t="inlineStr">
        <is>
          <t>Walk-in</t>
        </is>
      </c>
    </row>
    <row r="67">
      <c r="A67" t="inlineStr">
        <is>
          <t>ORD00066</t>
        </is>
      </c>
      <c r="B67" s="13" t="n">
        <v>46192</v>
      </c>
      <c r="C67" t="inlineStr">
        <is>
          <t>C007</t>
        </is>
      </c>
      <c r="D67" t="inlineStr">
        <is>
          <t>P009</t>
        </is>
      </c>
      <c r="E67" t="n">
        <v>1</v>
      </c>
      <c r="F67" s="14" t="n">
        <v>5795</v>
      </c>
      <c r="G67" s="14" t="n">
        <v>3600</v>
      </c>
      <c r="H67" s="11" t="n">
        <v>0</v>
      </c>
      <c r="I67" s="14" t="n">
        <v>5795</v>
      </c>
      <c r="J67" s="14" t="n">
        <v>3600</v>
      </c>
      <c r="K67" s="14" t="n">
        <v>2195</v>
      </c>
      <c r="L67" t="inlineStr">
        <is>
          <t>Maya</t>
        </is>
      </c>
      <c r="M67" t="inlineStr">
        <is>
          <t>Completed</t>
        </is>
      </c>
      <c r="N67" t="inlineStr">
        <is>
          <t>Website</t>
        </is>
      </c>
    </row>
    <row r="68">
      <c r="A68" t="inlineStr">
        <is>
          <t>ORD00067</t>
        </is>
      </c>
      <c r="B68" s="13" t="n">
        <v>46217</v>
      </c>
      <c r="C68" t="inlineStr">
        <is>
          <t>C010</t>
        </is>
      </c>
      <c r="D68" t="inlineStr">
        <is>
          <t>P008</t>
        </is>
      </c>
      <c r="E68" t="n">
        <v>1</v>
      </c>
      <c r="F68" s="14" t="n">
        <v>4595</v>
      </c>
      <c r="G68" s="14" t="n">
        <v>2800</v>
      </c>
      <c r="H68" s="11" t="n">
        <v>0</v>
      </c>
      <c r="I68" s="14" t="n">
        <v>4595</v>
      </c>
      <c r="J68" s="14" t="n">
        <v>2800</v>
      </c>
      <c r="K68" s="14" t="n">
        <v>1795</v>
      </c>
      <c r="L68" t="inlineStr">
        <is>
          <t>Maya</t>
        </is>
      </c>
      <c r="M68" t="inlineStr">
        <is>
          <t>Completed</t>
        </is>
      </c>
      <c r="N68" t="inlineStr">
        <is>
          <t>Walk-in</t>
        </is>
      </c>
    </row>
    <row r="69">
      <c r="A69" t="inlineStr">
        <is>
          <t>ORD00068</t>
        </is>
      </c>
      <c r="B69" s="13" t="n">
        <v>46298</v>
      </c>
      <c r="C69" t="inlineStr">
        <is>
          <t>C029</t>
        </is>
      </c>
      <c r="D69" t="inlineStr">
        <is>
          <t>P012</t>
        </is>
      </c>
      <c r="E69" t="n">
        <v>2</v>
      </c>
      <c r="F69" s="14" t="n">
        <v>1595</v>
      </c>
      <c r="G69" s="14" t="n">
        <v>900</v>
      </c>
      <c r="H69" s="11" t="n">
        <v>0.05</v>
      </c>
      <c r="I69" s="14" t="n">
        <v>3030.5</v>
      </c>
      <c r="J69" s="14" t="n">
        <v>1800</v>
      </c>
      <c r="K69" s="14" t="n">
        <v>1230.5</v>
      </c>
      <c r="L69" t="inlineStr">
        <is>
          <t>Cash</t>
        </is>
      </c>
      <c r="M69" t="inlineStr">
        <is>
          <t>Completed</t>
        </is>
      </c>
      <c r="N69" t="inlineStr">
        <is>
          <t>TikTok</t>
        </is>
      </c>
    </row>
    <row r="70">
      <c r="A70" t="inlineStr">
        <is>
          <t>ORD00069</t>
        </is>
      </c>
      <c r="B70" s="13" t="n">
        <v>46246</v>
      </c>
      <c r="C70" t="inlineStr">
        <is>
          <t>C022</t>
        </is>
      </c>
      <c r="D70" t="inlineStr">
        <is>
          <t>P008</t>
        </is>
      </c>
      <c r="E70" t="n">
        <v>1</v>
      </c>
      <c r="F70" s="14" t="n">
        <v>4595</v>
      </c>
      <c r="G70" s="14" t="n">
        <v>2800</v>
      </c>
      <c r="H70" s="11" t="n">
        <v>0</v>
      </c>
      <c r="I70" s="14" t="n">
        <v>4595</v>
      </c>
      <c r="J70" s="14" t="n">
        <v>2800</v>
      </c>
      <c r="K70" s="14" t="n">
        <v>1795</v>
      </c>
      <c r="L70" t="inlineStr">
        <is>
          <t>Maya</t>
        </is>
      </c>
      <c r="M70" t="inlineStr">
        <is>
          <t>Completed</t>
        </is>
      </c>
      <c r="N70" t="inlineStr">
        <is>
          <t>Walk-in</t>
        </is>
      </c>
    </row>
    <row r="71">
      <c r="A71" t="inlineStr">
        <is>
          <t>ORD00070</t>
        </is>
      </c>
      <c r="B71" s="13" t="n">
        <v>46088</v>
      </c>
      <c r="C71" t="inlineStr">
        <is>
          <t>C019</t>
        </is>
      </c>
      <c r="D71" t="inlineStr">
        <is>
          <t>P010</t>
        </is>
      </c>
      <c r="E71" t="n">
        <v>1</v>
      </c>
      <c r="F71" s="14" t="n">
        <v>4495</v>
      </c>
      <c r="G71" s="14" t="n">
        <v>2600</v>
      </c>
      <c r="H71" s="11" t="n">
        <v>0.03</v>
      </c>
      <c r="I71" s="14" t="n">
        <v>4360.15</v>
      </c>
      <c r="J71" s="14" t="n">
        <v>2600</v>
      </c>
      <c r="K71" s="14" t="n">
        <v>1760.15</v>
      </c>
      <c r="L71" t="inlineStr">
        <is>
          <t>GCash</t>
        </is>
      </c>
      <c r="M71" t="inlineStr">
        <is>
          <t>Completed</t>
        </is>
      </c>
      <c r="N71" t="inlineStr">
        <is>
          <t>Walk-in</t>
        </is>
      </c>
    </row>
    <row r="72">
      <c r="A72" t="inlineStr">
        <is>
          <t>ORD00071</t>
        </is>
      </c>
      <c r="B72" s="13" t="n">
        <v>46092</v>
      </c>
      <c r="C72" t="inlineStr">
        <is>
          <t>C013</t>
        </is>
      </c>
      <c r="D72" t="inlineStr">
        <is>
          <t>P008</t>
        </is>
      </c>
      <c r="E72" t="n">
        <v>1</v>
      </c>
      <c r="F72" s="14" t="n">
        <v>4595</v>
      </c>
      <c r="G72" s="14" t="n">
        <v>2800</v>
      </c>
      <c r="H72" s="11" t="n">
        <v>0</v>
      </c>
      <c r="I72" s="14" t="n">
        <v>4595</v>
      </c>
      <c r="J72" s="14" t="n">
        <v>2800</v>
      </c>
      <c r="K72" s="14" t="n">
        <v>1795</v>
      </c>
      <c r="L72" t="inlineStr">
        <is>
          <t>Card</t>
        </is>
      </c>
      <c r="M72" t="inlineStr">
        <is>
          <t>Completed</t>
        </is>
      </c>
      <c r="N72" t="inlineStr">
        <is>
          <t>TikTok</t>
        </is>
      </c>
    </row>
    <row r="73">
      <c r="A73" t="inlineStr">
        <is>
          <t>ORD00072</t>
        </is>
      </c>
      <c r="B73" s="13" t="n">
        <v>46195</v>
      </c>
      <c r="C73" t="inlineStr">
        <is>
          <t>C009</t>
        </is>
      </c>
      <c r="D73" t="inlineStr">
        <is>
          <t>P007</t>
        </is>
      </c>
      <c r="E73" t="n">
        <v>1</v>
      </c>
      <c r="F73" s="14" t="n">
        <v>5295</v>
      </c>
      <c r="G73" s="14" t="n">
        <v>3300</v>
      </c>
      <c r="H73" s="11" t="n">
        <v>0.03</v>
      </c>
      <c r="I73" s="14" t="n">
        <v>5136.15</v>
      </c>
      <c r="J73" s="14" t="n">
        <v>3300</v>
      </c>
      <c r="K73" s="14" t="n">
        <v>1836.15</v>
      </c>
      <c r="L73" t="inlineStr">
        <is>
          <t>GCash</t>
        </is>
      </c>
      <c r="M73" t="inlineStr">
        <is>
          <t>Completed</t>
        </is>
      </c>
      <c r="N73" t="inlineStr">
        <is>
          <t>Website</t>
        </is>
      </c>
    </row>
    <row r="74">
      <c r="A74" t="inlineStr">
        <is>
          <t>ORD00073</t>
        </is>
      </c>
      <c r="B74" s="13" t="n">
        <v>46202</v>
      </c>
      <c r="C74" t="inlineStr">
        <is>
          <t>C002</t>
        </is>
      </c>
      <c r="D74" t="inlineStr">
        <is>
          <t>P004</t>
        </is>
      </c>
      <c r="E74" t="n">
        <v>2</v>
      </c>
      <c r="F74" s="14" t="n">
        <v>3995</v>
      </c>
      <c r="G74" s="14" t="n">
        <v>2200</v>
      </c>
      <c r="H74" s="11" t="n">
        <v>0.1</v>
      </c>
      <c r="I74" s="14" t="n">
        <v>7191</v>
      </c>
      <c r="J74" s="14" t="n">
        <v>4400</v>
      </c>
      <c r="K74" s="14" t="n">
        <v>2791</v>
      </c>
      <c r="L74" t="inlineStr">
        <is>
          <t>GCash</t>
        </is>
      </c>
      <c r="M74" t="inlineStr">
        <is>
          <t>Completed</t>
        </is>
      </c>
      <c r="N74" t="inlineStr">
        <is>
          <t>Facebook</t>
        </is>
      </c>
    </row>
    <row r="75">
      <c r="A75" t="inlineStr">
        <is>
          <t>ORD00074</t>
        </is>
      </c>
      <c r="B75" s="13" t="n">
        <v>46033</v>
      </c>
      <c r="C75" t="inlineStr">
        <is>
          <t>C016</t>
        </is>
      </c>
      <c r="D75" t="inlineStr">
        <is>
          <t>P010</t>
        </is>
      </c>
      <c r="E75" t="n">
        <v>1</v>
      </c>
      <c r="F75" s="14" t="n">
        <v>4495</v>
      </c>
      <c r="G75" s="14" t="n">
        <v>2600</v>
      </c>
      <c r="H75" s="11" t="n">
        <v>0</v>
      </c>
      <c r="I75" s="14" t="n">
        <v>4495</v>
      </c>
      <c r="J75" s="14" t="n">
        <v>2600</v>
      </c>
      <c r="K75" s="14" t="n">
        <v>1895</v>
      </c>
      <c r="L75" t="inlineStr">
        <is>
          <t>GCash</t>
        </is>
      </c>
      <c r="M75" t="inlineStr">
        <is>
          <t>Completed</t>
        </is>
      </c>
      <c r="N75" t="inlineStr">
        <is>
          <t>Facebook</t>
        </is>
      </c>
    </row>
    <row r="76">
      <c r="A76" t="inlineStr">
        <is>
          <t>ORD00075</t>
        </is>
      </c>
      <c r="B76" s="13" t="n">
        <v>46261</v>
      </c>
      <c r="C76" t="inlineStr">
        <is>
          <t>C006</t>
        </is>
      </c>
      <c r="D76" t="inlineStr">
        <is>
          <t>P012</t>
        </is>
      </c>
      <c r="E76" t="n">
        <v>1</v>
      </c>
      <c r="F76" s="14" t="n">
        <v>1595</v>
      </c>
      <c r="G76" s="14" t="n">
        <v>900</v>
      </c>
      <c r="H76" s="11" t="n">
        <v>0</v>
      </c>
      <c r="I76" s="14" t="n">
        <v>1595</v>
      </c>
      <c r="J76" s="14" t="n">
        <v>900</v>
      </c>
      <c r="K76" s="14" t="n">
        <v>695</v>
      </c>
      <c r="L76" t="inlineStr">
        <is>
          <t>GCash</t>
        </is>
      </c>
      <c r="M76" t="inlineStr">
        <is>
          <t>Completed</t>
        </is>
      </c>
      <c r="N76" t="inlineStr">
        <is>
          <t>Facebook</t>
        </is>
      </c>
    </row>
    <row r="77">
      <c r="A77" t="inlineStr">
        <is>
          <t>ORD00076</t>
        </is>
      </c>
      <c r="B77" s="13" t="n">
        <v>46182</v>
      </c>
      <c r="C77" t="inlineStr">
        <is>
          <t>C019</t>
        </is>
      </c>
      <c r="D77" t="inlineStr">
        <is>
          <t>P002</t>
        </is>
      </c>
      <c r="E77" t="n">
        <v>1</v>
      </c>
      <c r="F77" s="14" t="n">
        <v>5495</v>
      </c>
      <c r="G77" s="14" t="n">
        <v>3500</v>
      </c>
      <c r="H77" s="11" t="n">
        <v>0</v>
      </c>
      <c r="I77" s="14" t="n">
        <v>5495</v>
      </c>
      <c r="J77" s="14" t="n">
        <v>3500</v>
      </c>
      <c r="K77" s="14" t="n">
        <v>1995</v>
      </c>
      <c r="L77" t="inlineStr">
        <is>
          <t>Maya</t>
        </is>
      </c>
      <c r="M77" t="inlineStr">
        <is>
          <t>Completed</t>
        </is>
      </c>
      <c r="N77" t="inlineStr">
        <is>
          <t>Facebook</t>
        </is>
      </c>
    </row>
    <row r="78">
      <c r="A78" t="inlineStr">
        <is>
          <t>ORD00077</t>
        </is>
      </c>
      <c r="B78" s="13" t="n">
        <v>46061</v>
      </c>
      <c r="C78" t="inlineStr">
        <is>
          <t>C008</t>
        </is>
      </c>
      <c r="D78" t="inlineStr">
        <is>
          <t>P010</t>
        </is>
      </c>
      <c r="E78" t="n">
        <v>2</v>
      </c>
      <c r="F78" s="14" t="n">
        <v>4495</v>
      </c>
      <c r="G78" s="14" t="n">
        <v>2600</v>
      </c>
      <c r="H78" s="11" t="n">
        <v>0.1</v>
      </c>
      <c r="I78" s="14" t="n">
        <v>8091</v>
      </c>
      <c r="J78" s="14" t="n">
        <v>5200</v>
      </c>
      <c r="K78" s="14" t="n">
        <v>2891</v>
      </c>
      <c r="L78" t="inlineStr">
        <is>
          <t>GCash</t>
        </is>
      </c>
      <c r="M78" t="inlineStr">
        <is>
          <t>Completed</t>
        </is>
      </c>
      <c r="N78" t="inlineStr">
        <is>
          <t>TikTok</t>
        </is>
      </c>
    </row>
    <row r="79">
      <c r="A79" t="inlineStr">
        <is>
          <t>ORD00078</t>
        </is>
      </c>
      <c r="B79" s="13" t="n">
        <v>46084</v>
      </c>
      <c r="C79" t="inlineStr">
        <is>
          <t>C018</t>
        </is>
      </c>
      <c r="D79" t="inlineStr">
        <is>
          <t>P010</t>
        </is>
      </c>
      <c r="E79" t="n">
        <v>2</v>
      </c>
      <c r="F79" s="14" t="n">
        <v>4495</v>
      </c>
      <c r="G79" s="14" t="n">
        <v>2600</v>
      </c>
      <c r="H79" s="11" t="n">
        <v>0</v>
      </c>
      <c r="I79" s="14" t="n">
        <v>8990</v>
      </c>
      <c r="J79" s="14" t="n">
        <v>5200</v>
      </c>
      <c r="K79" s="14" t="n">
        <v>3790</v>
      </c>
      <c r="L79" t="inlineStr">
        <is>
          <t>Maya</t>
        </is>
      </c>
      <c r="M79" t="inlineStr">
        <is>
          <t>Completed</t>
        </is>
      </c>
      <c r="N79" t="inlineStr">
        <is>
          <t>Website</t>
        </is>
      </c>
    </row>
    <row r="80">
      <c r="A80" t="inlineStr">
        <is>
          <t>ORD00079</t>
        </is>
      </c>
      <c r="B80" s="13" t="n">
        <v>46282</v>
      </c>
      <c r="C80" t="inlineStr">
        <is>
          <t>C027</t>
        </is>
      </c>
      <c r="D80" t="inlineStr">
        <is>
          <t>P011</t>
        </is>
      </c>
      <c r="E80" t="n">
        <v>1</v>
      </c>
      <c r="F80" s="14" t="n">
        <v>1495</v>
      </c>
      <c r="G80" s="14" t="n">
        <v>850</v>
      </c>
      <c r="H80" s="11" t="n">
        <v>0.03</v>
      </c>
      <c r="I80" s="14" t="n">
        <v>1450.15</v>
      </c>
      <c r="J80" s="14" t="n">
        <v>850</v>
      </c>
      <c r="K80" s="14" t="n">
        <v>600.1499999999999</v>
      </c>
      <c r="L80" t="inlineStr">
        <is>
          <t>Maya</t>
        </is>
      </c>
      <c r="M80" t="inlineStr">
        <is>
          <t>Completed</t>
        </is>
      </c>
      <c r="N80" t="inlineStr">
        <is>
          <t>TikTok</t>
        </is>
      </c>
    </row>
    <row r="81">
      <c r="A81" t="inlineStr">
        <is>
          <t>ORD00080</t>
        </is>
      </c>
      <c r="B81" s="13" t="n">
        <v>46258</v>
      </c>
      <c r="C81" t="inlineStr">
        <is>
          <t>C024</t>
        </is>
      </c>
      <c r="D81" t="inlineStr">
        <is>
          <t>P012</t>
        </is>
      </c>
      <c r="E81" t="n">
        <v>1</v>
      </c>
      <c r="F81" s="14" t="n">
        <v>1595</v>
      </c>
      <c r="G81" s="14" t="n">
        <v>900</v>
      </c>
      <c r="H81" s="11" t="n">
        <v>0</v>
      </c>
      <c r="I81" s="14" t="n">
        <v>1595</v>
      </c>
      <c r="J81" s="14" t="n">
        <v>900</v>
      </c>
      <c r="K81" s="14" t="n">
        <v>695</v>
      </c>
      <c r="L81" t="inlineStr">
        <is>
          <t>Card</t>
        </is>
      </c>
      <c r="M81" t="inlineStr">
        <is>
          <t>Completed</t>
        </is>
      </c>
      <c r="N81" t="inlineStr">
        <is>
          <t>Walk-in</t>
        </is>
      </c>
    </row>
    <row r="82">
      <c r="A82" t="inlineStr">
        <is>
          <t>ORD00081</t>
        </is>
      </c>
      <c r="B82" s="13" t="n">
        <v>46261</v>
      </c>
      <c r="C82" t="inlineStr">
        <is>
          <t>C009</t>
        </is>
      </c>
      <c r="D82" t="inlineStr">
        <is>
          <t>P007</t>
        </is>
      </c>
      <c r="E82" t="n">
        <v>2</v>
      </c>
      <c r="F82" s="14" t="n">
        <v>5295</v>
      </c>
      <c r="G82" s="14" t="n">
        <v>3300</v>
      </c>
      <c r="H82" s="11" t="n">
        <v>0.05</v>
      </c>
      <c r="I82" s="14" t="n">
        <v>10060.5</v>
      </c>
      <c r="J82" s="14" t="n">
        <v>6600</v>
      </c>
      <c r="K82" s="14" t="n">
        <v>3460.5</v>
      </c>
      <c r="L82" t="inlineStr">
        <is>
          <t>Card</t>
        </is>
      </c>
      <c r="M82" t="inlineStr">
        <is>
          <t>Completed</t>
        </is>
      </c>
      <c r="N82" t="inlineStr">
        <is>
          <t>Website</t>
        </is>
      </c>
    </row>
    <row r="83">
      <c r="A83" t="inlineStr">
        <is>
          <t>ORD00082</t>
        </is>
      </c>
      <c r="B83" s="13" t="n">
        <v>46165</v>
      </c>
      <c r="C83" t="inlineStr">
        <is>
          <t>C019</t>
        </is>
      </c>
      <c r="D83" t="inlineStr">
        <is>
          <t>P008</t>
        </is>
      </c>
      <c r="E83" t="n">
        <v>1</v>
      </c>
      <c r="F83" s="14" t="n">
        <v>4595</v>
      </c>
      <c r="G83" s="14" t="n">
        <v>2800</v>
      </c>
      <c r="H83" s="11" t="n">
        <v>0.03</v>
      </c>
      <c r="I83" s="14" t="n">
        <v>4457.15</v>
      </c>
      <c r="J83" s="14" t="n">
        <v>2800</v>
      </c>
      <c r="K83" s="14" t="n">
        <v>1657.15</v>
      </c>
      <c r="L83" t="inlineStr">
        <is>
          <t>Maya</t>
        </is>
      </c>
      <c r="M83" t="inlineStr">
        <is>
          <t>Completed</t>
        </is>
      </c>
      <c r="N83" t="inlineStr">
        <is>
          <t>Walk-in</t>
        </is>
      </c>
    </row>
    <row r="84">
      <c r="A84" t="inlineStr">
        <is>
          <t>ORD00083</t>
        </is>
      </c>
      <c r="B84" s="13" t="n">
        <v>46189</v>
      </c>
      <c r="C84" t="inlineStr">
        <is>
          <t>C026</t>
        </is>
      </c>
      <c r="D84" t="inlineStr">
        <is>
          <t>P003</t>
        </is>
      </c>
      <c r="E84" t="n">
        <v>1</v>
      </c>
      <c r="F84" s="14" t="n">
        <v>5995</v>
      </c>
      <c r="G84" s="14" t="n">
        <v>3800</v>
      </c>
      <c r="H84" s="11" t="n">
        <v>0</v>
      </c>
      <c r="I84" s="14" t="n">
        <v>5995</v>
      </c>
      <c r="J84" s="14" t="n">
        <v>3800</v>
      </c>
      <c r="K84" s="14" t="n">
        <v>2195</v>
      </c>
      <c r="L84" t="inlineStr">
        <is>
          <t>Card</t>
        </is>
      </c>
      <c r="M84" t="inlineStr">
        <is>
          <t>Completed</t>
        </is>
      </c>
      <c r="N84" t="inlineStr">
        <is>
          <t>TikTok</t>
        </is>
      </c>
    </row>
    <row r="85">
      <c r="A85" t="inlineStr">
        <is>
          <t>ORD00084</t>
        </is>
      </c>
      <c r="B85" s="13" t="n">
        <v>46028</v>
      </c>
      <c r="C85" t="inlineStr">
        <is>
          <t>C008</t>
        </is>
      </c>
      <c r="D85" t="inlineStr">
        <is>
          <t>P009</t>
        </is>
      </c>
      <c r="E85" t="n">
        <v>3</v>
      </c>
      <c r="F85" s="14" t="n">
        <v>5795</v>
      </c>
      <c r="G85" s="14" t="n">
        <v>3600</v>
      </c>
      <c r="H85" s="11" t="n">
        <v>0</v>
      </c>
      <c r="I85" s="14" t="n">
        <v>17385</v>
      </c>
      <c r="J85" s="14" t="n">
        <v>10800</v>
      </c>
      <c r="K85" s="14" t="n">
        <v>6585</v>
      </c>
      <c r="L85" t="inlineStr">
        <is>
          <t>Maya</t>
        </is>
      </c>
      <c r="M85" t="inlineStr">
        <is>
          <t>Completed</t>
        </is>
      </c>
      <c r="N85" t="inlineStr">
        <is>
          <t>Facebook</t>
        </is>
      </c>
    </row>
    <row r="86">
      <c r="A86" t="inlineStr">
        <is>
          <t>ORD00085</t>
        </is>
      </c>
      <c r="B86" s="13" t="n">
        <v>46266</v>
      </c>
      <c r="C86" t="inlineStr">
        <is>
          <t>C026</t>
        </is>
      </c>
      <c r="D86" t="inlineStr">
        <is>
          <t>P011</t>
        </is>
      </c>
      <c r="E86" t="n">
        <v>2</v>
      </c>
      <c r="F86" s="14" t="n">
        <v>1495</v>
      </c>
      <c r="G86" s="14" t="n">
        <v>850</v>
      </c>
      <c r="H86" s="11" t="n">
        <v>0.03</v>
      </c>
      <c r="I86" s="14" t="n">
        <v>2900.3</v>
      </c>
      <c r="J86" s="14" t="n">
        <v>1700</v>
      </c>
      <c r="K86" s="14" t="n">
        <v>1200.3</v>
      </c>
      <c r="L86" t="inlineStr">
        <is>
          <t>GCash</t>
        </is>
      </c>
      <c r="M86" t="inlineStr">
        <is>
          <t>Completed</t>
        </is>
      </c>
      <c r="N86" t="inlineStr">
        <is>
          <t>Facebook</t>
        </is>
      </c>
    </row>
    <row r="87">
      <c r="A87" t="inlineStr">
        <is>
          <t>ORD00086</t>
        </is>
      </c>
      <c r="B87" s="13" t="n">
        <v>46230</v>
      </c>
      <c r="C87" t="inlineStr">
        <is>
          <t>C019</t>
        </is>
      </c>
      <c r="D87" t="inlineStr">
        <is>
          <t>P012</t>
        </is>
      </c>
      <c r="E87" t="n">
        <v>1</v>
      </c>
      <c r="F87" s="14" t="n">
        <v>1595</v>
      </c>
      <c r="G87" s="14" t="n">
        <v>900</v>
      </c>
      <c r="H87" s="11" t="n">
        <v>0.1</v>
      </c>
      <c r="I87" s="14" t="n">
        <v>1435.5</v>
      </c>
      <c r="J87" s="14" t="n">
        <v>900</v>
      </c>
      <c r="K87" s="14" t="n">
        <v>535.5</v>
      </c>
      <c r="L87" t="inlineStr">
        <is>
          <t>Card</t>
        </is>
      </c>
      <c r="M87" t="inlineStr">
        <is>
          <t>Completed</t>
        </is>
      </c>
      <c r="N87" t="inlineStr">
        <is>
          <t>TikTok</t>
        </is>
      </c>
    </row>
    <row r="88">
      <c r="A88" t="inlineStr">
        <is>
          <t>ORD00087</t>
        </is>
      </c>
      <c r="B88" s="13" t="n">
        <v>46240</v>
      </c>
      <c r="C88" t="inlineStr">
        <is>
          <t>C023</t>
        </is>
      </c>
      <c r="D88" t="inlineStr">
        <is>
          <t>P012</t>
        </is>
      </c>
      <c r="E88" t="n">
        <v>1</v>
      </c>
      <c r="F88" s="14" t="n">
        <v>1595</v>
      </c>
      <c r="G88" s="14" t="n">
        <v>900</v>
      </c>
      <c r="H88" s="11" t="n">
        <v>0</v>
      </c>
      <c r="I88" s="14" t="n">
        <v>1595</v>
      </c>
      <c r="J88" s="14" t="n">
        <v>900</v>
      </c>
      <c r="K88" s="14" t="n">
        <v>695</v>
      </c>
      <c r="L88" t="inlineStr">
        <is>
          <t>Maya</t>
        </is>
      </c>
      <c r="M88" t="inlineStr">
        <is>
          <t>Completed</t>
        </is>
      </c>
      <c r="N88" t="inlineStr">
        <is>
          <t>TikTok</t>
        </is>
      </c>
    </row>
    <row r="89">
      <c r="A89" t="inlineStr">
        <is>
          <t>ORD00088</t>
        </is>
      </c>
      <c r="B89" s="13" t="n">
        <v>46141</v>
      </c>
      <c r="C89" t="inlineStr">
        <is>
          <t>C004</t>
        </is>
      </c>
      <c r="D89" t="inlineStr">
        <is>
          <t>P002</t>
        </is>
      </c>
      <c r="E89" t="n">
        <v>2</v>
      </c>
      <c r="F89" s="14" t="n">
        <v>5495</v>
      </c>
      <c r="G89" s="14" t="n">
        <v>3500</v>
      </c>
      <c r="H89" s="11" t="n">
        <v>0</v>
      </c>
      <c r="I89" s="14" t="n">
        <v>10990</v>
      </c>
      <c r="J89" s="14" t="n">
        <v>7000</v>
      </c>
      <c r="K89" s="14" t="n">
        <v>3990</v>
      </c>
      <c r="L89" t="inlineStr">
        <is>
          <t>Cash</t>
        </is>
      </c>
      <c r="M89" t="inlineStr">
        <is>
          <t>Completed</t>
        </is>
      </c>
      <c r="N89" t="inlineStr">
        <is>
          <t>Walk-in</t>
        </is>
      </c>
    </row>
    <row r="90">
      <c r="A90" t="inlineStr">
        <is>
          <t>ORD00089</t>
        </is>
      </c>
      <c r="B90" s="13" t="n">
        <v>46164</v>
      </c>
      <c r="C90" t="inlineStr">
        <is>
          <t>C020</t>
        </is>
      </c>
      <c r="D90" t="inlineStr">
        <is>
          <t>P012</t>
        </is>
      </c>
      <c r="E90" t="n">
        <v>1</v>
      </c>
      <c r="F90" s="14" t="n">
        <v>1595</v>
      </c>
      <c r="G90" s="14" t="n">
        <v>900</v>
      </c>
      <c r="H90" s="11" t="n">
        <v>0.05</v>
      </c>
      <c r="I90" s="14" t="n">
        <v>0</v>
      </c>
      <c r="J90" s="14" t="n">
        <v>0</v>
      </c>
      <c r="K90" s="14" t="n">
        <v>0</v>
      </c>
      <c r="L90" t="inlineStr">
        <is>
          <t>Card</t>
        </is>
      </c>
      <c r="M90" t="inlineStr">
        <is>
          <t>Cancelled</t>
        </is>
      </c>
      <c r="N90" t="inlineStr">
        <is>
          <t>Facebook</t>
        </is>
      </c>
    </row>
    <row r="91">
      <c r="A91" t="inlineStr">
        <is>
          <t>ORD00090</t>
        </is>
      </c>
      <c r="B91" s="13" t="n">
        <v>46174</v>
      </c>
      <c r="C91" t="inlineStr">
        <is>
          <t>C001</t>
        </is>
      </c>
      <c r="D91" t="inlineStr">
        <is>
          <t>P004</t>
        </is>
      </c>
      <c r="E91" t="n">
        <v>1</v>
      </c>
      <c r="F91" s="14" t="n">
        <v>3995</v>
      </c>
      <c r="G91" s="14" t="n">
        <v>2200</v>
      </c>
      <c r="H91" s="11" t="n">
        <v>0</v>
      </c>
      <c r="I91" s="14" t="n">
        <v>3995</v>
      </c>
      <c r="J91" s="14" t="n">
        <v>2200</v>
      </c>
      <c r="K91" s="14" t="n">
        <v>1795</v>
      </c>
      <c r="L91" t="inlineStr">
        <is>
          <t>Cash</t>
        </is>
      </c>
      <c r="M91" t="inlineStr">
        <is>
          <t>Completed</t>
        </is>
      </c>
      <c r="N91" t="inlineStr">
        <is>
          <t>Website</t>
        </is>
      </c>
    </row>
    <row r="92">
      <c r="A92" t="inlineStr">
        <is>
          <t>ORD00091</t>
        </is>
      </c>
      <c r="B92" s="13" t="n">
        <v>46172</v>
      </c>
      <c r="C92" t="inlineStr">
        <is>
          <t>C028</t>
        </is>
      </c>
      <c r="D92" t="inlineStr">
        <is>
          <t>P012</t>
        </is>
      </c>
      <c r="E92" t="n">
        <v>3</v>
      </c>
      <c r="F92" s="14" t="n">
        <v>1595</v>
      </c>
      <c r="G92" s="14" t="n">
        <v>900</v>
      </c>
      <c r="H92" s="11" t="n">
        <v>0.1</v>
      </c>
      <c r="I92" s="14" t="n">
        <v>4306.5</v>
      </c>
      <c r="J92" s="14" t="n">
        <v>2700</v>
      </c>
      <c r="K92" s="14" t="n">
        <v>1606.5</v>
      </c>
      <c r="L92" t="inlineStr">
        <is>
          <t>Maya</t>
        </is>
      </c>
      <c r="M92" t="inlineStr">
        <is>
          <t>Completed</t>
        </is>
      </c>
      <c r="N92" t="inlineStr">
        <is>
          <t>Website</t>
        </is>
      </c>
    </row>
    <row r="93">
      <c r="A93" t="inlineStr">
        <is>
          <t>ORD00092</t>
        </is>
      </c>
      <c r="B93" s="13" t="n">
        <v>46168</v>
      </c>
      <c r="C93" t="inlineStr">
        <is>
          <t>C006</t>
        </is>
      </c>
      <c r="D93" t="inlineStr">
        <is>
          <t>P008</t>
        </is>
      </c>
      <c r="E93" t="n">
        <v>1</v>
      </c>
      <c r="F93" s="14" t="n">
        <v>4595</v>
      </c>
      <c r="G93" s="14" t="n">
        <v>2800</v>
      </c>
      <c r="H93" s="11" t="n">
        <v>0</v>
      </c>
      <c r="I93" s="14" t="n">
        <v>4595</v>
      </c>
      <c r="J93" s="14" t="n">
        <v>2800</v>
      </c>
      <c r="K93" s="14" t="n">
        <v>1795</v>
      </c>
      <c r="L93" t="inlineStr">
        <is>
          <t>GCash</t>
        </is>
      </c>
      <c r="M93" t="inlineStr">
        <is>
          <t>Completed</t>
        </is>
      </c>
      <c r="N93" t="inlineStr">
        <is>
          <t>Walk-in</t>
        </is>
      </c>
    </row>
    <row r="94">
      <c r="A94" t="inlineStr">
        <is>
          <t>ORD00093</t>
        </is>
      </c>
      <c r="B94" s="13" t="n">
        <v>46081</v>
      </c>
      <c r="C94" t="inlineStr">
        <is>
          <t>C019</t>
        </is>
      </c>
      <c r="D94" t="inlineStr">
        <is>
          <t>P002</t>
        </is>
      </c>
      <c r="E94" t="n">
        <v>1</v>
      </c>
      <c r="F94" s="14" t="n">
        <v>5495</v>
      </c>
      <c r="G94" s="14" t="n">
        <v>3500</v>
      </c>
      <c r="H94" s="11" t="n">
        <v>0</v>
      </c>
      <c r="I94" s="14" t="n">
        <v>5495</v>
      </c>
      <c r="J94" s="14" t="n">
        <v>3500</v>
      </c>
      <c r="K94" s="14" t="n">
        <v>1995</v>
      </c>
      <c r="L94" t="inlineStr">
        <is>
          <t>GCash</t>
        </is>
      </c>
      <c r="M94" t="inlineStr">
        <is>
          <t>Completed</t>
        </is>
      </c>
      <c r="N94" t="inlineStr">
        <is>
          <t>TikTok</t>
        </is>
      </c>
    </row>
    <row r="95">
      <c r="A95" t="inlineStr">
        <is>
          <t>ORD00094</t>
        </is>
      </c>
      <c r="B95" s="13" t="n">
        <v>46066</v>
      </c>
      <c r="C95" t="inlineStr">
        <is>
          <t>C020</t>
        </is>
      </c>
      <c r="D95" t="inlineStr">
        <is>
          <t>P004</t>
        </is>
      </c>
      <c r="E95" t="n">
        <v>1</v>
      </c>
      <c r="F95" s="14" t="n">
        <v>3995</v>
      </c>
      <c r="G95" s="14" t="n">
        <v>2200</v>
      </c>
      <c r="H95" s="11" t="n">
        <v>0.03</v>
      </c>
      <c r="I95" s="14" t="n">
        <v>3875.15</v>
      </c>
      <c r="J95" s="14" t="n">
        <v>2200</v>
      </c>
      <c r="K95" s="14" t="n">
        <v>1675.15</v>
      </c>
      <c r="L95" t="inlineStr">
        <is>
          <t>Cash</t>
        </is>
      </c>
      <c r="M95" t="inlineStr">
        <is>
          <t>Completed</t>
        </is>
      </c>
      <c r="N95" t="inlineStr">
        <is>
          <t>Walk-in</t>
        </is>
      </c>
    </row>
    <row r="96">
      <c r="A96" t="inlineStr">
        <is>
          <t>ORD00095</t>
        </is>
      </c>
      <c r="B96" s="13" t="n">
        <v>46253</v>
      </c>
      <c r="C96" t="inlineStr">
        <is>
          <t>C014</t>
        </is>
      </c>
      <c r="D96" t="inlineStr">
        <is>
          <t>P008</t>
        </is>
      </c>
      <c r="E96" t="n">
        <v>1</v>
      </c>
      <c r="F96" s="14" t="n">
        <v>4595</v>
      </c>
      <c r="G96" s="14" t="n">
        <v>2800</v>
      </c>
      <c r="H96" s="11" t="n">
        <v>0.05</v>
      </c>
      <c r="I96" s="14" t="n">
        <v>4365.25</v>
      </c>
      <c r="J96" s="14" t="n">
        <v>2800</v>
      </c>
      <c r="K96" s="14" t="n">
        <v>1565.25</v>
      </c>
      <c r="L96" t="inlineStr">
        <is>
          <t>Card</t>
        </is>
      </c>
      <c r="M96" t="inlineStr">
        <is>
          <t>Completed</t>
        </is>
      </c>
      <c r="N96" t="inlineStr">
        <is>
          <t>Website</t>
        </is>
      </c>
    </row>
    <row r="97">
      <c r="A97" t="inlineStr">
        <is>
          <t>ORD00096</t>
        </is>
      </c>
      <c r="B97" s="13" t="n">
        <v>46073</v>
      </c>
      <c r="C97" t="inlineStr">
        <is>
          <t>C022</t>
        </is>
      </c>
      <c r="D97" t="inlineStr">
        <is>
          <t>P004</t>
        </is>
      </c>
      <c r="E97" t="n">
        <v>2</v>
      </c>
      <c r="F97" s="14" t="n">
        <v>3995</v>
      </c>
      <c r="G97" s="14" t="n">
        <v>2200</v>
      </c>
      <c r="H97" s="11" t="n">
        <v>0</v>
      </c>
      <c r="I97" s="14" t="n">
        <v>7990</v>
      </c>
      <c r="J97" s="14" t="n">
        <v>4400</v>
      </c>
      <c r="K97" s="14" t="n">
        <v>3590</v>
      </c>
      <c r="L97" t="inlineStr">
        <is>
          <t>GCash</t>
        </is>
      </c>
      <c r="M97" t="inlineStr">
        <is>
          <t>Completed</t>
        </is>
      </c>
      <c r="N97" t="inlineStr">
        <is>
          <t>Facebook</t>
        </is>
      </c>
    </row>
    <row r="98">
      <c r="A98" t="inlineStr">
        <is>
          <t>ORD00097</t>
        </is>
      </c>
      <c r="B98" s="13" t="n">
        <v>46061</v>
      </c>
      <c r="C98" t="inlineStr">
        <is>
          <t>C023</t>
        </is>
      </c>
      <c r="D98" t="inlineStr">
        <is>
          <t>P003</t>
        </is>
      </c>
      <c r="E98" t="n">
        <v>1</v>
      </c>
      <c r="F98" s="14" t="n">
        <v>5995</v>
      </c>
      <c r="G98" s="14" t="n">
        <v>3800</v>
      </c>
      <c r="H98" s="11" t="n">
        <v>0.03</v>
      </c>
      <c r="I98" s="14" t="n">
        <v>5815.15</v>
      </c>
      <c r="J98" s="14" t="n">
        <v>3800</v>
      </c>
      <c r="K98" s="14" t="n">
        <v>2015.15</v>
      </c>
      <c r="L98" t="inlineStr">
        <is>
          <t>Maya</t>
        </is>
      </c>
      <c r="M98" t="inlineStr">
        <is>
          <t>Completed</t>
        </is>
      </c>
      <c r="N98" t="inlineStr">
        <is>
          <t>Facebook</t>
        </is>
      </c>
    </row>
    <row r="99">
      <c r="A99" t="inlineStr">
        <is>
          <t>ORD00098</t>
        </is>
      </c>
      <c r="B99" s="13" t="n">
        <v>46170</v>
      </c>
      <c r="C99" t="inlineStr">
        <is>
          <t>C003</t>
        </is>
      </c>
      <c r="D99" t="inlineStr">
        <is>
          <t>P012</t>
        </is>
      </c>
      <c r="E99" t="n">
        <v>1</v>
      </c>
      <c r="F99" s="14" t="n">
        <v>1595</v>
      </c>
      <c r="G99" s="14" t="n">
        <v>900</v>
      </c>
      <c r="H99" s="11" t="n">
        <v>0.03</v>
      </c>
      <c r="I99" s="14" t="n">
        <v>1547.15</v>
      </c>
      <c r="J99" s="14" t="n">
        <v>900</v>
      </c>
      <c r="K99" s="14" t="n">
        <v>647.1499999999999</v>
      </c>
      <c r="L99" t="inlineStr">
        <is>
          <t>Cash</t>
        </is>
      </c>
      <c r="M99" t="inlineStr">
        <is>
          <t>Completed</t>
        </is>
      </c>
      <c r="N99" t="inlineStr">
        <is>
          <t>Facebook</t>
        </is>
      </c>
    </row>
    <row r="100">
      <c r="A100" t="inlineStr">
        <is>
          <t>ORD00099</t>
        </is>
      </c>
      <c r="B100" s="13" t="n">
        <v>46240</v>
      </c>
      <c r="C100" t="inlineStr">
        <is>
          <t>C005</t>
        </is>
      </c>
      <c r="D100" t="inlineStr">
        <is>
          <t>P002</t>
        </is>
      </c>
      <c r="E100" t="n">
        <v>1</v>
      </c>
      <c r="F100" s="14" t="n">
        <v>5495</v>
      </c>
      <c r="G100" s="14" t="n">
        <v>3500</v>
      </c>
      <c r="H100" s="11" t="n">
        <v>0.1</v>
      </c>
      <c r="I100" s="14" t="n">
        <v>4945.5</v>
      </c>
      <c r="J100" s="14" t="n">
        <v>3500</v>
      </c>
      <c r="K100" s="14" t="n">
        <v>1445.5</v>
      </c>
      <c r="L100" t="inlineStr">
        <is>
          <t>Card</t>
        </is>
      </c>
      <c r="M100" t="inlineStr">
        <is>
          <t>Completed</t>
        </is>
      </c>
      <c r="N100" t="inlineStr">
        <is>
          <t>Website</t>
        </is>
      </c>
    </row>
    <row r="101">
      <c r="A101" t="inlineStr">
        <is>
          <t>ORD00100</t>
        </is>
      </c>
      <c r="B101" s="13" t="n">
        <v>46053</v>
      </c>
      <c r="C101" t="inlineStr">
        <is>
          <t>C024</t>
        </is>
      </c>
      <c r="D101" t="inlineStr">
        <is>
          <t>P003</t>
        </is>
      </c>
      <c r="E101" t="n">
        <v>2</v>
      </c>
      <c r="F101" s="14" t="n">
        <v>5995</v>
      </c>
      <c r="G101" s="14" t="n">
        <v>3800</v>
      </c>
      <c r="H101" s="11" t="n">
        <v>0.05</v>
      </c>
      <c r="I101" s="14" t="n">
        <v>11390.5</v>
      </c>
      <c r="J101" s="14" t="n">
        <v>7600</v>
      </c>
      <c r="K101" s="14" t="n">
        <v>3790.5</v>
      </c>
      <c r="L101" t="inlineStr">
        <is>
          <t>Card</t>
        </is>
      </c>
      <c r="M101" t="inlineStr">
        <is>
          <t>Completed</t>
        </is>
      </c>
      <c r="N101" t="inlineStr">
        <is>
          <t>Walk-in</t>
        </is>
      </c>
    </row>
    <row r="102">
      <c r="A102" t="inlineStr">
        <is>
          <t>ORD00101</t>
        </is>
      </c>
      <c r="B102" s="13" t="n">
        <v>46178</v>
      </c>
      <c r="C102" t="inlineStr">
        <is>
          <t>C017</t>
        </is>
      </c>
      <c r="D102" t="inlineStr">
        <is>
          <t>P012</t>
        </is>
      </c>
      <c r="E102" t="n">
        <v>1</v>
      </c>
      <c r="F102" s="14" t="n">
        <v>1595</v>
      </c>
      <c r="G102" s="14" t="n">
        <v>900</v>
      </c>
      <c r="H102" s="11" t="n">
        <v>0</v>
      </c>
      <c r="I102" s="14" t="n">
        <v>1595</v>
      </c>
      <c r="J102" s="14" t="n">
        <v>900</v>
      </c>
      <c r="K102" s="14" t="n">
        <v>695</v>
      </c>
      <c r="L102" t="inlineStr">
        <is>
          <t>Maya</t>
        </is>
      </c>
      <c r="M102" t="inlineStr">
        <is>
          <t>Completed</t>
        </is>
      </c>
      <c r="N102" t="inlineStr">
        <is>
          <t>Website</t>
        </is>
      </c>
    </row>
    <row r="103">
      <c r="A103" t="inlineStr">
        <is>
          <t>ORD00102</t>
        </is>
      </c>
      <c r="B103" s="13" t="n">
        <v>46244</v>
      </c>
      <c r="C103" t="inlineStr">
        <is>
          <t>C001</t>
        </is>
      </c>
      <c r="D103" t="inlineStr">
        <is>
          <t>P012</t>
        </is>
      </c>
      <c r="E103" t="n">
        <v>1</v>
      </c>
      <c r="F103" s="14" t="n">
        <v>1595</v>
      </c>
      <c r="G103" s="14" t="n">
        <v>900</v>
      </c>
      <c r="H103" s="11" t="n">
        <v>0</v>
      </c>
      <c r="I103" s="14" t="n">
        <v>1595</v>
      </c>
      <c r="J103" s="14" t="n">
        <v>900</v>
      </c>
      <c r="K103" s="14" t="n">
        <v>695</v>
      </c>
      <c r="L103" t="inlineStr">
        <is>
          <t>GCash</t>
        </is>
      </c>
      <c r="M103" t="inlineStr">
        <is>
          <t>Completed</t>
        </is>
      </c>
      <c r="N103" t="inlineStr">
        <is>
          <t>Website</t>
        </is>
      </c>
    </row>
    <row r="104">
      <c r="A104" t="inlineStr">
        <is>
          <t>ORD00103</t>
        </is>
      </c>
      <c r="B104" s="13" t="n">
        <v>46160</v>
      </c>
      <c r="C104" t="inlineStr">
        <is>
          <t>C016</t>
        </is>
      </c>
      <c r="D104" t="inlineStr">
        <is>
          <t>P010</t>
        </is>
      </c>
      <c r="E104" t="n">
        <v>1</v>
      </c>
      <c r="F104" s="14" t="n">
        <v>4495</v>
      </c>
      <c r="G104" s="14" t="n">
        <v>2600</v>
      </c>
      <c r="H104" s="11" t="n">
        <v>0</v>
      </c>
      <c r="I104" s="14" t="n">
        <v>4495</v>
      </c>
      <c r="J104" s="14" t="n">
        <v>2600</v>
      </c>
      <c r="K104" s="14" t="n">
        <v>1895</v>
      </c>
      <c r="L104" t="inlineStr">
        <is>
          <t>Maya</t>
        </is>
      </c>
      <c r="M104" t="inlineStr">
        <is>
          <t>Completed</t>
        </is>
      </c>
      <c r="N104" t="inlineStr">
        <is>
          <t>Facebook</t>
        </is>
      </c>
    </row>
    <row r="105">
      <c r="A105" t="inlineStr">
        <is>
          <t>ORD00104</t>
        </is>
      </c>
      <c r="B105" s="13" t="n">
        <v>46246</v>
      </c>
      <c r="C105" t="inlineStr">
        <is>
          <t>C016</t>
        </is>
      </c>
      <c r="D105" t="inlineStr">
        <is>
          <t>P011</t>
        </is>
      </c>
      <c r="E105" t="n">
        <v>2</v>
      </c>
      <c r="F105" s="14" t="n">
        <v>1495</v>
      </c>
      <c r="G105" s="14" t="n">
        <v>850</v>
      </c>
      <c r="H105" s="11" t="n">
        <v>0</v>
      </c>
      <c r="I105" s="14" t="n">
        <v>2990</v>
      </c>
      <c r="J105" s="14" t="n">
        <v>1700</v>
      </c>
      <c r="K105" s="14" t="n">
        <v>1290</v>
      </c>
      <c r="L105" t="inlineStr">
        <is>
          <t>Card</t>
        </is>
      </c>
      <c r="M105" t="inlineStr">
        <is>
          <t>Completed</t>
        </is>
      </c>
      <c r="N105" t="inlineStr">
        <is>
          <t>TikTok</t>
        </is>
      </c>
    </row>
    <row r="106">
      <c r="A106" t="inlineStr">
        <is>
          <t>ORD00105</t>
        </is>
      </c>
      <c r="B106" s="13" t="n">
        <v>46076</v>
      </c>
      <c r="C106" t="inlineStr">
        <is>
          <t>C016</t>
        </is>
      </c>
      <c r="D106" t="inlineStr">
        <is>
          <t>P003</t>
        </is>
      </c>
      <c r="E106" t="n">
        <v>1</v>
      </c>
      <c r="F106" s="14" t="n">
        <v>5995</v>
      </c>
      <c r="G106" s="14" t="n">
        <v>3800</v>
      </c>
      <c r="H106" s="11" t="n">
        <v>0.1</v>
      </c>
      <c r="I106" s="14" t="n">
        <v>5395.5</v>
      </c>
      <c r="J106" s="14" t="n">
        <v>3800</v>
      </c>
      <c r="K106" s="14" t="n">
        <v>1595.5</v>
      </c>
      <c r="L106" t="inlineStr">
        <is>
          <t>Card</t>
        </is>
      </c>
      <c r="M106" t="inlineStr">
        <is>
          <t>Completed</t>
        </is>
      </c>
      <c r="N106" t="inlineStr">
        <is>
          <t>Walk-in</t>
        </is>
      </c>
    </row>
    <row r="107">
      <c r="A107" t="inlineStr">
        <is>
          <t>ORD00106</t>
        </is>
      </c>
      <c r="B107" s="13" t="n">
        <v>46041</v>
      </c>
      <c r="C107" t="inlineStr">
        <is>
          <t>C011</t>
        </is>
      </c>
      <c r="D107" t="inlineStr">
        <is>
          <t>P008</t>
        </is>
      </c>
      <c r="E107" t="n">
        <v>1</v>
      </c>
      <c r="F107" s="14" t="n">
        <v>4595</v>
      </c>
      <c r="G107" s="14" t="n">
        <v>2800</v>
      </c>
      <c r="H107" s="11" t="n">
        <v>0</v>
      </c>
      <c r="I107" s="14" t="n">
        <v>4595</v>
      </c>
      <c r="J107" s="14" t="n">
        <v>2800</v>
      </c>
      <c r="K107" s="14" t="n">
        <v>1795</v>
      </c>
      <c r="L107" t="inlineStr">
        <is>
          <t>GCash</t>
        </is>
      </c>
      <c r="M107" t="inlineStr">
        <is>
          <t>Completed</t>
        </is>
      </c>
      <c r="N107" t="inlineStr">
        <is>
          <t>Walk-in</t>
        </is>
      </c>
    </row>
    <row r="108">
      <c r="A108" t="inlineStr">
        <is>
          <t>ORD00107</t>
        </is>
      </c>
      <c r="B108" s="13" t="n">
        <v>46286</v>
      </c>
      <c r="C108" t="inlineStr">
        <is>
          <t>C015</t>
        </is>
      </c>
      <c r="D108" t="inlineStr">
        <is>
          <t>P001</t>
        </is>
      </c>
      <c r="E108" t="n">
        <v>2</v>
      </c>
      <c r="F108" s="14" t="n">
        <v>4995</v>
      </c>
      <c r="G108" s="14" t="n">
        <v>3200</v>
      </c>
      <c r="H108" s="11" t="n">
        <v>0.05</v>
      </c>
      <c r="I108" s="14" t="n">
        <v>9490.5</v>
      </c>
      <c r="J108" s="14" t="n">
        <v>6400</v>
      </c>
      <c r="K108" s="14" t="n">
        <v>3090.5</v>
      </c>
      <c r="L108" t="inlineStr">
        <is>
          <t>Maya</t>
        </is>
      </c>
      <c r="M108" t="inlineStr">
        <is>
          <t>Completed</t>
        </is>
      </c>
      <c r="N108" t="inlineStr">
        <is>
          <t>TikTok</t>
        </is>
      </c>
    </row>
    <row r="109">
      <c r="A109" t="inlineStr">
        <is>
          <t>ORD00108</t>
        </is>
      </c>
      <c r="B109" s="13" t="n">
        <v>46278</v>
      </c>
      <c r="C109" t="inlineStr">
        <is>
          <t>C007</t>
        </is>
      </c>
      <c r="D109" t="inlineStr">
        <is>
          <t>P011</t>
        </is>
      </c>
      <c r="E109" t="n">
        <v>1</v>
      </c>
      <c r="F109" s="14" t="n">
        <v>1495</v>
      </c>
      <c r="G109" s="14" t="n">
        <v>850</v>
      </c>
      <c r="H109" s="11" t="n">
        <v>0</v>
      </c>
      <c r="I109" s="14" t="n">
        <v>1495</v>
      </c>
      <c r="J109" s="14" t="n">
        <v>850</v>
      </c>
      <c r="K109" s="14" t="n">
        <v>645</v>
      </c>
      <c r="L109" t="inlineStr">
        <is>
          <t>Card</t>
        </is>
      </c>
      <c r="M109" t="inlineStr">
        <is>
          <t>Completed</t>
        </is>
      </c>
      <c r="N109" t="inlineStr">
        <is>
          <t>TikTok</t>
        </is>
      </c>
    </row>
    <row r="110">
      <c r="A110" t="inlineStr">
        <is>
          <t>ORD00109</t>
        </is>
      </c>
      <c r="B110" s="13" t="n">
        <v>46247</v>
      </c>
      <c r="C110" t="inlineStr">
        <is>
          <t>C021</t>
        </is>
      </c>
      <c r="D110" t="inlineStr">
        <is>
          <t>P012</t>
        </is>
      </c>
      <c r="E110" t="n">
        <v>1</v>
      </c>
      <c r="F110" s="14" t="n">
        <v>1595</v>
      </c>
      <c r="G110" s="14" t="n">
        <v>900</v>
      </c>
      <c r="H110" s="11" t="n">
        <v>0</v>
      </c>
      <c r="I110" s="14" t="n">
        <v>1595</v>
      </c>
      <c r="J110" s="14" t="n">
        <v>900</v>
      </c>
      <c r="K110" s="14" t="n">
        <v>695</v>
      </c>
      <c r="L110" t="inlineStr">
        <is>
          <t>Cash</t>
        </is>
      </c>
      <c r="M110" t="inlineStr">
        <is>
          <t>Completed</t>
        </is>
      </c>
      <c r="N110" t="inlineStr">
        <is>
          <t>TikTok</t>
        </is>
      </c>
    </row>
    <row r="111">
      <c r="A111" t="inlineStr">
        <is>
          <t>ORD00110</t>
        </is>
      </c>
      <c r="B111" s="13" t="n">
        <v>46030</v>
      </c>
      <c r="C111" t="inlineStr">
        <is>
          <t>C027</t>
        </is>
      </c>
      <c r="D111" t="inlineStr">
        <is>
          <t>P009</t>
        </is>
      </c>
      <c r="E111" t="n">
        <v>1</v>
      </c>
      <c r="F111" s="14" t="n">
        <v>5795</v>
      </c>
      <c r="G111" s="14" t="n">
        <v>3600</v>
      </c>
      <c r="H111" s="11" t="n">
        <v>0</v>
      </c>
      <c r="I111" s="14" t="n">
        <v>5795</v>
      </c>
      <c r="J111" s="14" t="n">
        <v>3600</v>
      </c>
      <c r="K111" s="14" t="n">
        <v>2195</v>
      </c>
      <c r="L111" t="inlineStr">
        <is>
          <t>GCash</t>
        </is>
      </c>
      <c r="M111" t="inlineStr">
        <is>
          <t>Completed</t>
        </is>
      </c>
      <c r="N111" t="inlineStr">
        <is>
          <t>Website</t>
        </is>
      </c>
    </row>
    <row r="112">
      <c r="A112" t="inlineStr">
        <is>
          <t>ORD00111</t>
        </is>
      </c>
      <c r="B112" s="13" t="n">
        <v>46101</v>
      </c>
      <c r="C112" t="inlineStr">
        <is>
          <t>C017</t>
        </is>
      </c>
      <c r="D112" t="inlineStr">
        <is>
          <t>P008</t>
        </is>
      </c>
      <c r="E112" t="n">
        <v>3</v>
      </c>
      <c r="F112" s="14" t="n">
        <v>4595</v>
      </c>
      <c r="G112" s="14" t="n">
        <v>2800</v>
      </c>
      <c r="H112" s="11" t="n">
        <v>0</v>
      </c>
      <c r="I112" s="14" t="n">
        <v>13785</v>
      </c>
      <c r="J112" s="14" t="n">
        <v>8400</v>
      </c>
      <c r="K112" s="14" t="n">
        <v>5385</v>
      </c>
      <c r="L112" t="inlineStr">
        <is>
          <t>Card</t>
        </is>
      </c>
      <c r="M112" t="inlineStr">
        <is>
          <t>Completed</t>
        </is>
      </c>
      <c r="N112" t="inlineStr">
        <is>
          <t>Walk-in</t>
        </is>
      </c>
    </row>
    <row r="113">
      <c r="A113" t="inlineStr">
        <is>
          <t>ORD00112</t>
        </is>
      </c>
      <c r="B113" s="13" t="n">
        <v>46264</v>
      </c>
      <c r="C113" t="inlineStr">
        <is>
          <t>C013</t>
        </is>
      </c>
      <c r="D113" t="inlineStr">
        <is>
          <t>P004</t>
        </is>
      </c>
      <c r="E113" t="n">
        <v>1</v>
      </c>
      <c r="F113" s="14" t="n">
        <v>3995</v>
      </c>
      <c r="G113" s="14" t="n">
        <v>2200</v>
      </c>
      <c r="H113" s="11" t="n">
        <v>0</v>
      </c>
      <c r="I113" s="14" t="n">
        <v>3995</v>
      </c>
      <c r="J113" s="14" t="n">
        <v>2200</v>
      </c>
      <c r="K113" s="14" t="n">
        <v>1795</v>
      </c>
      <c r="L113" t="inlineStr">
        <is>
          <t>Cash</t>
        </is>
      </c>
      <c r="M113" t="inlineStr">
        <is>
          <t>Completed</t>
        </is>
      </c>
      <c r="N113" t="inlineStr">
        <is>
          <t>Facebook</t>
        </is>
      </c>
    </row>
    <row r="114">
      <c r="A114" t="inlineStr">
        <is>
          <t>ORD00113</t>
        </is>
      </c>
      <c r="B114" s="13" t="n">
        <v>46058</v>
      </c>
      <c r="C114" t="inlineStr">
        <is>
          <t>C011</t>
        </is>
      </c>
      <c r="D114" t="inlineStr">
        <is>
          <t>P005</t>
        </is>
      </c>
      <c r="E114" t="n">
        <v>2</v>
      </c>
      <c r="F114" s="14" t="n">
        <v>3695</v>
      </c>
      <c r="G114" s="14" t="n">
        <v>2100</v>
      </c>
      <c r="H114" s="11" t="n">
        <v>0.03</v>
      </c>
      <c r="I114" s="14" t="n">
        <v>7168.3</v>
      </c>
      <c r="J114" s="14" t="n">
        <v>4200</v>
      </c>
      <c r="K114" s="14" t="n">
        <v>2968.3</v>
      </c>
      <c r="L114" t="inlineStr">
        <is>
          <t>Card</t>
        </is>
      </c>
      <c r="M114" t="inlineStr">
        <is>
          <t>Completed</t>
        </is>
      </c>
      <c r="N114" t="inlineStr">
        <is>
          <t>TikTok</t>
        </is>
      </c>
    </row>
    <row r="115">
      <c r="A115" t="inlineStr">
        <is>
          <t>ORD00114</t>
        </is>
      </c>
      <c r="B115" s="13" t="n">
        <v>46175</v>
      </c>
      <c r="C115" t="inlineStr">
        <is>
          <t>C016</t>
        </is>
      </c>
      <c r="D115" t="inlineStr">
        <is>
          <t>P010</t>
        </is>
      </c>
      <c r="E115" t="n">
        <v>1</v>
      </c>
      <c r="F115" s="14" t="n">
        <v>4495</v>
      </c>
      <c r="G115" s="14" t="n">
        <v>2600</v>
      </c>
      <c r="H115" s="11" t="n">
        <v>0.1</v>
      </c>
      <c r="I115" s="14" t="n">
        <v>4045.5</v>
      </c>
      <c r="J115" s="14" t="n">
        <v>2600</v>
      </c>
      <c r="K115" s="14" t="n">
        <v>1445.5</v>
      </c>
      <c r="L115" t="inlineStr">
        <is>
          <t>Cash</t>
        </is>
      </c>
      <c r="M115" t="inlineStr">
        <is>
          <t>Completed</t>
        </is>
      </c>
      <c r="N115" t="inlineStr">
        <is>
          <t>Walk-in</t>
        </is>
      </c>
    </row>
    <row r="116">
      <c r="A116" t="inlineStr">
        <is>
          <t>ORD00115</t>
        </is>
      </c>
      <c r="B116" s="13" t="n">
        <v>46199</v>
      </c>
      <c r="C116" t="inlineStr">
        <is>
          <t>C013</t>
        </is>
      </c>
      <c r="D116" t="inlineStr">
        <is>
          <t>P006</t>
        </is>
      </c>
      <c r="E116" t="n">
        <v>1</v>
      </c>
      <c r="F116" s="14" t="n">
        <v>6295</v>
      </c>
      <c r="G116" s="14" t="n">
        <v>3900</v>
      </c>
      <c r="H116" s="11" t="n">
        <v>0.05</v>
      </c>
      <c r="I116" s="14" t="n">
        <v>5980.25</v>
      </c>
      <c r="J116" s="14" t="n">
        <v>3900</v>
      </c>
      <c r="K116" s="14" t="n">
        <v>2080.25</v>
      </c>
      <c r="L116" t="inlineStr">
        <is>
          <t>Maya</t>
        </is>
      </c>
      <c r="M116" t="inlineStr">
        <is>
          <t>Completed</t>
        </is>
      </c>
      <c r="N116" t="inlineStr">
        <is>
          <t>Facebook</t>
        </is>
      </c>
    </row>
    <row r="117">
      <c r="A117" t="inlineStr">
        <is>
          <t>ORD00116</t>
        </is>
      </c>
      <c r="B117" s="13" t="n">
        <v>46145</v>
      </c>
      <c r="C117" t="inlineStr">
        <is>
          <t>C002</t>
        </is>
      </c>
      <c r="D117" t="inlineStr">
        <is>
          <t>P010</t>
        </is>
      </c>
      <c r="E117" t="n">
        <v>1</v>
      </c>
      <c r="F117" s="14" t="n">
        <v>4495</v>
      </c>
      <c r="G117" s="14" t="n">
        <v>2600</v>
      </c>
      <c r="H117" s="11" t="n">
        <v>0.03</v>
      </c>
      <c r="I117" s="14" t="n">
        <v>4360.15</v>
      </c>
      <c r="J117" s="14" t="n">
        <v>2600</v>
      </c>
      <c r="K117" s="14" t="n">
        <v>1760.15</v>
      </c>
      <c r="L117" t="inlineStr">
        <is>
          <t>Card</t>
        </is>
      </c>
      <c r="M117" t="inlineStr">
        <is>
          <t>Completed</t>
        </is>
      </c>
      <c r="N117" t="inlineStr">
        <is>
          <t>Walk-in</t>
        </is>
      </c>
    </row>
    <row r="118">
      <c r="A118" t="inlineStr">
        <is>
          <t>ORD00117</t>
        </is>
      </c>
      <c r="B118" s="13" t="n">
        <v>46220</v>
      </c>
      <c r="C118" t="inlineStr">
        <is>
          <t>C005</t>
        </is>
      </c>
      <c r="D118" t="inlineStr">
        <is>
          <t>P011</t>
        </is>
      </c>
      <c r="E118" t="n">
        <v>2</v>
      </c>
      <c r="F118" s="14" t="n">
        <v>1495</v>
      </c>
      <c r="G118" s="14" t="n">
        <v>850</v>
      </c>
      <c r="H118" s="11" t="n">
        <v>0.1</v>
      </c>
      <c r="I118" s="14" t="n">
        <v>2691</v>
      </c>
      <c r="J118" s="14" t="n">
        <v>1700</v>
      </c>
      <c r="K118" s="14" t="n">
        <v>991</v>
      </c>
      <c r="L118" t="inlineStr">
        <is>
          <t>Maya</t>
        </is>
      </c>
      <c r="M118" t="inlineStr">
        <is>
          <t>Completed</t>
        </is>
      </c>
      <c r="N118" t="inlineStr">
        <is>
          <t>Facebook</t>
        </is>
      </c>
    </row>
    <row r="119">
      <c r="A119" t="inlineStr">
        <is>
          <t>ORD00118</t>
        </is>
      </c>
      <c r="B119" s="13" t="n">
        <v>46280</v>
      </c>
      <c r="C119" t="inlineStr">
        <is>
          <t>C028</t>
        </is>
      </c>
      <c r="D119" t="inlineStr">
        <is>
          <t>P010</t>
        </is>
      </c>
      <c r="E119" t="n">
        <v>1</v>
      </c>
      <c r="F119" s="14" t="n">
        <v>4495</v>
      </c>
      <c r="G119" s="14" t="n">
        <v>2600</v>
      </c>
      <c r="H119" s="11" t="n">
        <v>0</v>
      </c>
      <c r="I119" s="14" t="n">
        <v>4495</v>
      </c>
      <c r="J119" s="14" t="n">
        <v>2600</v>
      </c>
      <c r="K119" s="14" t="n">
        <v>1895</v>
      </c>
      <c r="L119" t="inlineStr">
        <is>
          <t>Maya</t>
        </is>
      </c>
      <c r="M119" t="inlineStr">
        <is>
          <t>Completed</t>
        </is>
      </c>
      <c r="N119" t="inlineStr">
        <is>
          <t>Walk-in</t>
        </is>
      </c>
    </row>
    <row r="120">
      <c r="A120" t="inlineStr">
        <is>
          <t>ORD00119</t>
        </is>
      </c>
      <c r="B120" s="13" t="n">
        <v>46030</v>
      </c>
      <c r="C120" t="inlineStr">
        <is>
          <t>C005</t>
        </is>
      </c>
      <c r="D120" t="inlineStr">
        <is>
          <t>P012</t>
        </is>
      </c>
      <c r="E120" t="n">
        <v>1</v>
      </c>
      <c r="F120" s="14" t="n">
        <v>1595</v>
      </c>
      <c r="G120" s="14" t="n">
        <v>900</v>
      </c>
      <c r="H120" s="11" t="n">
        <v>0.1</v>
      </c>
      <c r="I120" s="14" t="n">
        <v>1435.5</v>
      </c>
      <c r="J120" s="14" t="n">
        <v>900</v>
      </c>
      <c r="K120" s="14" t="n">
        <v>535.5</v>
      </c>
      <c r="L120" t="inlineStr">
        <is>
          <t>GCash</t>
        </is>
      </c>
      <c r="M120" t="inlineStr">
        <is>
          <t>Completed</t>
        </is>
      </c>
      <c r="N120" t="inlineStr">
        <is>
          <t>TikTok</t>
        </is>
      </c>
    </row>
    <row r="121">
      <c r="A121" t="inlineStr">
        <is>
          <t>ORD00120</t>
        </is>
      </c>
      <c r="B121" s="13" t="n">
        <v>46196</v>
      </c>
      <c r="C121" t="inlineStr">
        <is>
          <t>C003</t>
        </is>
      </c>
      <c r="D121" t="inlineStr">
        <is>
          <t>P010</t>
        </is>
      </c>
      <c r="E121" t="n">
        <v>2</v>
      </c>
      <c r="F121" s="14" t="n">
        <v>4495</v>
      </c>
      <c r="G121" s="14" t="n">
        <v>2600</v>
      </c>
      <c r="H121" s="11" t="n">
        <v>0.1</v>
      </c>
      <c r="I121" s="14" t="n">
        <v>8091</v>
      </c>
      <c r="J121" s="14" t="n">
        <v>5200</v>
      </c>
      <c r="K121" s="14" t="n">
        <v>2891</v>
      </c>
      <c r="L121" t="inlineStr">
        <is>
          <t>Card</t>
        </is>
      </c>
      <c r="M121" t="inlineStr">
        <is>
          <t>Completed</t>
        </is>
      </c>
      <c r="N121" t="inlineStr">
        <is>
          <t>Walk-in</t>
        </is>
      </c>
    </row>
    <row r="122">
      <c r="A122" t="inlineStr">
        <is>
          <t>ORD00121</t>
        </is>
      </c>
      <c r="B122" s="13" t="n">
        <v>46185</v>
      </c>
      <c r="C122" t="inlineStr">
        <is>
          <t>C028</t>
        </is>
      </c>
      <c r="D122" t="inlineStr">
        <is>
          <t>P011</t>
        </is>
      </c>
      <c r="E122" t="n">
        <v>2</v>
      </c>
      <c r="F122" s="14" t="n">
        <v>1495</v>
      </c>
      <c r="G122" s="14" t="n">
        <v>850</v>
      </c>
      <c r="H122" s="11" t="n">
        <v>0.03</v>
      </c>
      <c r="I122" s="14" t="n">
        <v>2900.3</v>
      </c>
      <c r="J122" s="14" t="n">
        <v>1700</v>
      </c>
      <c r="K122" s="14" t="n">
        <v>1200.3</v>
      </c>
      <c r="L122" t="inlineStr">
        <is>
          <t>GCash</t>
        </is>
      </c>
      <c r="M122" t="inlineStr">
        <is>
          <t>Completed</t>
        </is>
      </c>
      <c r="N122" t="inlineStr">
        <is>
          <t>Facebook</t>
        </is>
      </c>
    </row>
    <row r="123">
      <c r="A123" t="inlineStr">
        <is>
          <t>ORD00122</t>
        </is>
      </c>
      <c r="B123" s="13" t="n">
        <v>46170</v>
      </c>
      <c r="C123" t="inlineStr">
        <is>
          <t>C004</t>
        </is>
      </c>
      <c r="D123" t="inlineStr">
        <is>
          <t>P004</t>
        </is>
      </c>
      <c r="E123" t="n">
        <v>2</v>
      </c>
      <c r="F123" s="14" t="n">
        <v>3995</v>
      </c>
      <c r="G123" s="14" t="n">
        <v>2200</v>
      </c>
      <c r="H123" s="11" t="n">
        <v>0.03</v>
      </c>
      <c r="I123" s="14" t="n">
        <v>7750.3</v>
      </c>
      <c r="J123" s="14" t="n">
        <v>4400</v>
      </c>
      <c r="K123" s="14" t="n">
        <v>3350.3</v>
      </c>
      <c r="L123" t="inlineStr">
        <is>
          <t>GCash</t>
        </is>
      </c>
      <c r="M123" t="inlineStr">
        <is>
          <t>Completed</t>
        </is>
      </c>
      <c r="N123" t="inlineStr">
        <is>
          <t>TikTok</t>
        </is>
      </c>
    </row>
    <row r="124">
      <c r="A124" t="inlineStr">
        <is>
          <t>ORD00123</t>
        </is>
      </c>
      <c r="B124" s="13" t="n">
        <v>46037</v>
      </c>
      <c r="C124" t="inlineStr">
        <is>
          <t>C010</t>
        </is>
      </c>
      <c r="D124" t="inlineStr">
        <is>
          <t>P001</t>
        </is>
      </c>
      <c r="E124" t="n">
        <v>1</v>
      </c>
      <c r="F124" s="14" t="n">
        <v>4995</v>
      </c>
      <c r="G124" s="14" t="n">
        <v>3200</v>
      </c>
      <c r="H124" s="11" t="n">
        <v>0</v>
      </c>
      <c r="I124" s="14" t="n">
        <v>4995</v>
      </c>
      <c r="J124" s="14" t="n">
        <v>3200</v>
      </c>
      <c r="K124" s="14" t="n">
        <v>1795</v>
      </c>
      <c r="L124" t="inlineStr">
        <is>
          <t>Card</t>
        </is>
      </c>
      <c r="M124" t="inlineStr">
        <is>
          <t>Completed</t>
        </is>
      </c>
      <c r="N124" t="inlineStr">
        <is>
          <t>Facebook</t>
        </is>
      </c>
    </row>
    <row r="125">
      <c r="A125" t="inlineStr">
        <is>
          <t>ORD00124</t>
        </is>
      </c>
      <c r="B125" s="13" t="n">
        <v>46148</v>
      </c>
      <c r="C125" t="inlineStr">
        <is>
          <t>C026</t>
        </is>
      </c>
      <c r="D125" t="inlineStr">
        <is>
          <t>P009</t>
        </is>
      </c>
      <c r="E125" t="n">
        <v>1</v>
      </c>
      <c r="F125" s="14" t="n">
        <v>5795</v>
      </c>
      <c r="G125" s="14" t="n">
        <v>3600</v>
      </c>
      <c r="H125" s="11" t="n">
        <v>0.1</v>
      </c>
      <c r="I125" s="14" t="n">
        <v>5215.5</v>
      </c>
      <c r="J125" s="14" t="n">
        <v>3600</v>
      </c>
      <c r="K125" s="14" t="n">
        <v>1615.5</v>
      </c>
      <c r="L125" t="inlineStr">
        <is>
          <t>Cash</t>
        </is>
      </c>
      <c r="M125" t="inlineStr">
        <is>
          <t>Completed</t>
        </is>
      </c>
      <c r="N125" t="inlineStr">
        <is>
          <t>Website</t>
        </is>
      </c>
    </row>
    <row r="126">
      <c r="A126" t="inlineStr">
        <is>
          <t>ORD00125</t>
        </is>
      </c>
      <c r="B126" s="13" t="n">
        <v>46218</v>
      </c>
      <c r="C126" t="inlineStr">
        <is>
          <t>C030</t>
        </is>
      </c>
      <c r="D126" t="inlineStr">
        <is>
          <t>P010</t>
        </is>
      </c>
      <c r="E126" t="n">
        <v>2</v>
      </c>
      <c r="F126" s="14" t="n">
        <v>4495</v>
      </c>
      <c r="G126" s="14" t="n">
        <v>2600</v>
      </c>
      <c r="H126" s="11" t="n">
        <v>0.03</v>
      </c>
      <c r="I126" s="14" t="n">
        <v>8720.299999999999</v>
      </c>
      <c r="J126" s="14" t="n">
        <v>5200</v>
      </c>
      <c r="K126" s="14" t="n">
        <v>3520.299999999999</v>
      </c>
      <c r="L126" t="inlineStr">
        <is>
          <t>Cash</t>
        </is>
      </c>
      <c r="M126" t="inlineStr">
        <is>
          <t>Completed</t>
        </is>
      </c>
      <c r="N126" t="inlineStr">
        <is>
          <t>TikTok</t>
        </is>
      </c>
    </row>
    <row r="127">
      <c r="A127" t="inlineStr">
        <is>
          <t>ORD00126</t>
        </is>
      </c>
      <c r="B127" s="13" t="n">
        <v>46258</v>
      </c>
      <c r="C127" t="inlineStr">
        <is>
          <t>C029</t>
        </is>
      </c>
      <c r="D127" t="inlineStr">
        <is>
          <t>P005</t>
        </is>
      </c>
      <c r="E127" t="n">
        <v>2</v>
      </c>
      <c r="F127" s="14" t="n">
        <v>3695</v>
      </c>
      <c r="G127" s="14" t="n">
        <v>2100</v>
      </c>
      <c r="H127" s="11" t="n">
        <v>0.03</v>
      </c>
      <c r="I127" s="14" t="n">
        <v>7168.3</v>
      </c>
      <c r="J127" s="14" t="n">
        <v>4200</v>
      </c>
      <c r="K127" s="14" t="n">
        <v>2968.3</v>
      </c>
      <c r="L127" t="inlineStr">
        <is>
          <t>Card</t>
        </is>
      </c>
      <c r="M127" t="inlineStr">
        <is>
          <t>Completed</t>
        </is>
      </c>
      <c r="N127" t="inlineStr">
        <is>
          <t>Facebook</t>
        </is>
      </c>
    </row>
    <row r="128">
      <c r="A128" t="inlineStr">
        <is>
          <t>ORD00127</t>
        </is>
      </c>
      <c r="B128" s="13" t="n">
        <v>46060</v>
      </c>
      <c r="C128" t="inlineStr">
        <is>
          <t>C010</t>
        </is>
      </c>
      <c r="D128" t="inlineStr">
        <is>
          <t>P008</t>
        </is>
      </c>
      <c r="E128" t="n">
        <v>3</v>
      </c>
      <c r="F128" s="14" t="n">
        <v>4595</v>
      </c>
      <c r="G128" s="14" t="n">
        <v>2800</v>
      </c>
      <c r="H128" s="11" t="n">
        <v>0.05</v>
      </c>
      <c r="I128" s="14" t="n">
        <v>13095.75</v>
      </c>
      <c r="J128" s="14" t="n">
        <v>8400</v>
      </c>
      <c r="K128" s="14" t="n">
        <v>4695.75</v>
      </c>
      <c r="L128" t="inlineStr">
        <is>
          <t>Maya</t>
        </is>
      </c>
      <c r="M128" t="inlineStr">
        <is>
          <t>Completed</t>
        </is>
      </c>
      <c r="N128" t="inlineStr">
        <is>
          <t>Walk-in</t>
        </is>
      </c>
    </row>
    <row r="129">
      <c r="A129" t="inlineStr">
        <is>
          <t>ORD00128</t>
        </is>
      </c>
      <c r="B129" s="13" t="n">
        <v>46177</v>
      </c>
      <c r="C129" t="inlineStr">
        <is>
          <t>C004</t>
        </is>
      </c>
      <c r="D129" t="inlineStr">
        <is>
          <t>P004</t>
        </is>
      </c>
      <c r="E129" t="n">
        <v>4</v>
      </c>
      <c r="F129" s="14" t="n">
        <v>3995</v>
      </c>
      <c r="G129" s="14" t="n">
        <v>2200</v>
      </c>
      <c r="H129" s="11" t="n">
        <v>0.03</v>
      </c>
      <c r="I129" s="14" t="n">
        <v>15500.6</v>
      </c>
      <c r="J129" s="14" t="n">
        <v>8800</v>
      </c>
      <c r="K129" s="14" t="n">
        <v>6700.6</v>
      </c>
      <c r="L129" t="inlineStr">
        <is>
          <t>Cash</t>
        </is>
      </c>
      <c r="M129" t="inlineStr">
        <is>
          <t>Completed</t>
        </is>
      </c>
      <c r="N129" t="inlineStr">
        <is>
          <t>TikTok</t>
        </is>
      </c>
    </row>
    <row r="130">
      <c r="A130" t="inlineStr">
        <is>
          <t>ORD00129</t>
        </is>
      </c>
      <c r="B130" s="13" t="n">
        <v>46174</v>
      </c>
      <c r="C130" t="inlineStr">
        <is>
          <t>C013</t>
        </is>
      </c>
      <c r="D130" t="inlineStr">
        <is>
          <t>P012</t>
        </is>
      </c>
      <c r="E130" t="n">
        <v>1</v>
      </c>
      <c r="F130" s="14" t="n">
        <v>1595</v>
      </c>
      <c r="G130" s="14" t="n">
        <v>900</v>
      </c>
      <c r="H130" s="11" t="n">
        <v>0.1</v>
      </c>
      <c r="I130" s="14" t="n">
        <v>1435.5</v>
      </c>
      <c r="J130" s="14" t="n">
        <v>900</v>
      </c>
      <c r="K130" s="14" t="n">
        <v>535.5</v>
      </c>
      <c r="L130" t="inlineStr">
        <is>
          <t>Card</t>
        </is>
      </c>
      <c r="M130" t="inlineStr">
        <is>
          <t>Completed</t>
        </is>
      </c>
      <c r="N130" t="inlineStr">
        <is>
          <t>Website</t>
        </is>
      </c>
    </row>
    <row r="131">
      <c r="A131" t="inlineStr">
        <is>
          <t>ORD00130</t>
        </is>
      </c>
      <c r="B131" s="13" t="n">
        <v>46277</v>
      </c>
      <c r="C131" t="inlineStr">
        <is>
          <t>C020</t>
        </is>
      </c>
      <c r="D131" t="inlineStr">
        <is>
          <t>P005</t>
        </is>
      </c>
      <c r="E131" t="n">
        <v>2</v>
      </c>
      <c r="F131" s="14" t="n">
        <v>3695</v>
      </c>
      <c r="G131" s="14" t="n">
        <v>2100</v>
      </c>
      <c r="H131" s="11" t="n">
        <v>0</v>
      </c>
      <c r="I131" s="14" t="n">
        <v>7390</v>
      </c>
      <c r="J131" s="14" t="n">
        <v>4200</v>
      </c>
      <c r="K131" s="14" t="n">
        <v>3190</v>
      </c>
      <c r="L131" t="inlineStr">
        <is>
          <t>Card</t>
        </is>
      </c>
      <c r="M131" t="inlineStr">
        <is>
          <t>Completed</t>
        </is>
      </c>
      <c r="N131" t="inlineStr">
        <is>
          <t>Facebook</t>
        </is>
      </c>
    </row>
    <row r="132">
      <c r="A132" t="inlineStr">
        <is>
          <t>ORD00131</t>
        </is>
      </c>
      <c r="B132" s="13" t="n">
        <v>46151</v>
      </c>
      <c r="C132" t="inlineStr">
        <is>
          <t>C022</t>
        </is>
      </c>
      <c r="D132" t="inlineStr">
        <is>
          <t>P011</t>
        </is>
      </c>
      <c r="E132" t="n">
        <v>2</v>
      </c>
      <c r="F132" s="14" t="n">
        <v>1495</v>
      </c>
      <c r="G132" s="14" t="n">
        <v>850</v>
      </c>
      <c r="H132" s="11" t="n">
        <v>0.1</v>
      </c>
      <c r="I132" s="14" t="n">
        <v>2691</v>
      </c>
      <c r="J132" s="14" t="n">
        <v>1700</v>
      </c>
      <c r="K132" s="14" t="n">
        <v>991</v>
      </c>
      <c r="L132" t="inlineStr">
        <is>
          <t>Cash</t>
        </is>
      </c>
      <c r="M132" t="inlineStr">
        <is>
          <t>Completed</t>
        </is>
      </c>
      <c r="N132" t="inlineStr">
        <is>
          <t>Website</t>
        </is>
      </c>
    </row>
    <row r="133">
      <c r="A133" t="inlineStr">
        <is>
          <t>ORD00132</t>
        </is>
      </c>
      <c r="B133" s="13" t="n">
        <v>46181</v>
      </c>
      <c r="C133" t="inlineStr">
        <is>
          <t>C024</t>
        </is>
      </c>
      <c r="D133" t="inlineStr">
        <is>
          <t>P008</t>
        </is>
      </c>
      <c r="E133" t="n">
        <v>1</v>
      </c>
      <c r="F133" s="14" t="n">
        <v>4595</v>
      </c>
      <c r="G133" s="14" t="n">
        <v>2800</v>
      </c>
      <c r="H133" s="11" t="n">
        <v>0</v>
      </c>
      <c r="I133" s="14" t="n">
        <v>4595</v>
      </c>
      <c r="J133" s="14" t="n">
        <v>2800</v>
      </c>
      <c r="K133" s="14" t="n">
        <v>1795</v>
      </c>
      <c r="L133" t="inlineStr">
        <is>
          <t>Cash</t>
        </is>
      </c>
      <c r="M133" t="inlineStr">
        <is>
          <t>Completed</t>
        </is>
      </c>
      <c r="N133" t="inlineStr">
        <is>
          <t>TikTok</t>
        </is>
      </c>
    </row>
    <row r="134">
      <c r="A134" t="inlineStr">
        <is>
          <t>ORD00133</t>
        </is>
      </c>
      <c r="B134" s="13" t="n">
        <v>46190</v>
      </c>
      <c r="C134" t="inlineStr">
        <is>
          <t>C005</t>
        </is>
      </c>
      <c r="D134" t="inlineStr">
        <is>
          <t>P012</t>
        </is>
      </c>
      <c r="E134" t="n">
        <v>1</v>
      </c>
      <c r="F134" s="14" t="n">
        <v>1595</v>
      </c>
      <c r="G134" s="14" t="n">
        <v>900</v>
      </c>
      <c r="H134" s="11" t="n">
        <v>0</v>
      </c>
      <c r="I134" s="14" t="n">
        <v>1595</v>
      </c>
      <c r="J134" s="14" t="n">
        <v>900</v>
      </c>
      <c r="K134" s="14" t="n">
        <v>695</v>
      </c>
      <c r="L134" t="inlineStr">
        <is>
          <t>Card</t>
        </is>
      </c>
      <c r="M134" t="inlineStr">
        <is>
          <t>Completed</t>
        </is>
      </c>
      <c r="N134" t="inlineStr">
        <is>
          <t>TikTok</t>
        </is>
      </c>
    </row>
    <row r="135">
      <c r="A135" t="inlineStr">
        <is>
          <t>ORD00134</t>
        </is>
      </c>
      <c r="B135" s="13" t="n">
        <v>46107</v>
      </c>
      <c r="C135" t="inlineStr">
        <is>
          <t>C026</t>
        </is>
      </c>
      <c r="D135" t="inlineStr">
        <is>
          <t>P005</t>
        </is>
      </c>
      <c r="E135" t="n">
        <v>3</v>
      </c>
      <c r="F135" s="14" t="n">
        <v>3695</v>
      </c>
      <c r="G135" s="14" t="n">
        <v>2100</v>
      </c>
      <c r="H135" s="11" t="n">
        <v>0.03</v>
      </c>
      <c r="I135" s="14" t="n">
        <v>10752.45</v>
      </c>
      <c r="J135" s="14" t="n">
        <v>6300</v>
      </c>
      <c r="K135" s="14" t="n">
        <v>4452.449999999999</v>
      </c>
      <c r="L135" t="inlineStr">
        <is>
          <t>Card</t>
        </is>
      </c>
      <c r="M135" t="inlineStr">
        <is>
          <t>Completed</t>
        </is>
      </c>
      <c r="N135" t="inlineStr">
        <is>
          <t>TikTok</t>
        </is>
      </c>
    </row>
    <row r="136">
      <c r="A136" t="inlineStr">
        <is>
          <t>ORD00135</t>
        </is>
      </c>
      <c r="B136" s="13" t="n">
        <v>46081</v>
      </c>
      <c r="C136" t="inlineStr">
        <is>
          <t>C025</t>
        </is>
      </c>
      <c r="D136" t="inlineStr">
        <is>
          <t>P008</t>
        </is>
      </c>
      <c r="E136" t="n">
        <v>3</v>
      </c>
      <c r="F136" s="14" t="n">
        <v>4595</v>
      </c>
      <c r="G136" s="14" t="n">
        <v>2800</v>
      </c>
      <c r="H136" s="11" t="n">
        <v>0</v>
      </c>
      <c r="I136" s="14" t="n">
        <v>13785</v>
      </c>
      <c r="J136" s="14" t="n">
        <v>8400</v>
      </c>
      <c r="K136" s="14" t="n">
        <v>5385</v>
      </c>
      <c r="L136" t="inlineStr">
        <is>
          <t>Cash</t>
        </is>
      </c>
      <c r="M136" t="inlineStr">
        <is>
          <t>Completed</t>
        </is>
      </c>
      <c r="N136" t="inlineStr">
        <is>
          <t>Walk-in</t>
        </is>
      </c>
    </row>
    <row r="137">
      <c r="A137" t="inlineStr">
        <is>
          <t>ORD00136</t>
        </is>
      </c>
      <c r="B137" s="13" t="n">
        <v>46210</v>
      </c>
      <c r="C137" t="inlineStr">
        <is>
          <t>C009</t>
        </is>
      </c>
      <c r="D137" t="inlineStr">
        <is>
          <t>P002</t>
        </is>
      </c>
      <c r="E137" t="n">
        <v>2</v>
      </c>
      <c r="F137" s="14" t="n">
        <v>5495</v>
      </c>
      <c r="G137" s="14" t="n">
        <v>3500</v>
      </c>
      <c r="H137" s="11" t="n">
        <v>0</v>
      </c>
      <c r="I137" s="14" t="n">
        <v>10990</v>
      </c>
      <c r="J137" s="14" t="n">
        <v>7000</v>
      </c>
      <c r="K137" s="14" t="n">
        <v>3990</v>
      </c>
      <c r="L137" t="inlineStr">
        <is>
          <t>GCash</t>
        </is>
      </c>
      <c r="M137" t="inlineStr">
        <is>
          <t>Completed</t>
        </is>
      </c>
      <c r="N137" t="inlineStr">
        <is>
          <t>TikTok</t>
        </is>
      </c>
    </row>
    <row r="138">
      <c r="A138" t="inlineStr">
        <is>
          <t>ORD00137</t>
        </is>
      </c>
      <c r="B138" s="13" t="n">
        <v>46218</v>
      </c>
      <c r="C138" t="inlineStr">
        <is>
          <t>C022</t>
        </is>
      </c>
      <c r="D138" t="inlineStr">
        <is>
          <t>P011</t>
        </is>
      </c>
      <c r="E138" t="n">
        <v>3</v>
      </c>
      <c r="F138" s="14" t="n">
        <v>1495</v>
      </c>
      <c r="G138" s="14" t="n">
        <v>850</v>
      </c>
      <c r="H138" s="11" t="n">
        <v>0</v>
      </c>
      <c r="I138" s="14" t="n">
        <v>4485</v>
      </c>
      <c r="J138" s="14" t="n">
        <v>2550</v>
      </c>
      <c r="K138" s="14" t="n">
        <v>1935</v>
      </c>
      <c r="L138" t="inlineStr">
        <is>
          <t>Cash</t>
        </is>
      </c>
      <c r="M138" t="inlineStr">
        <is>
          <t>Completed</t>
        </is>
      </c>
      <c r="N138" t="inlineStr">
        <is>
          <t>TikTok</t>
        </is>
      </c>
    </row>
    <row r="139">
      <c r="A139" t="inlineStr">
        <is>
          <t>ORD00138</t>
        </is>
      </c>
      <c r="B139" s="13" t="n">
        <v>46136</v>
      </c>
      <c r="C139" t="inlineStr">
        <is>
          <t>C030</t>
        </is>
      </c>
      <c r="D139" t="inlineStr">
        <is>
          <t>P011</t>
        </is>
      </c>
      <c r="E139" t="n">
        <v>1</v>
      </c>
      <c r="F139" s="14" t="n">
        <v>1495</v>
      </c>
      <c r="G139" s="14" t="n">
        <v>850</v>
      </c>
      <c r="H139" s="11" t="n">
        <v>0.03</v>
      </c>
      <c r="I139" s="14" t="n">
        <v>1450.15</v>
      </c>
      <c r="J139" s="14" t="n">
        <v>850</v>
      </c>
      <c r="K139" s="14" t="n">
        <v>600.1499999999999</v>
      </c>
      <c r="L139" t="inlineStr">
        <is>
          <t>Card</t>
        </is>
      </c>
      <c r="M139" t="inlineStr">
        <is>
          <t>Completed</t>
        </is>
      </c>
      <c r="N139" t="inlineStr">
        <is>
          <t>Website</t>
        </is>
      </c>
    </row>
    <row r="140">
      <c r="A140" t="inlineStr">
        <is>
          <t>ORD00139</t>
        </is>
      </c>
      <c r="B140" s="13" t="n">
        <v>46094</v>
      </c>
      <c r="C140" t="inlineStr">
        <is>
          <t>C016</t>
        </is>
      </c>
      <c r="D140" t="inlineStr">
        <is>
          <t>P001</t>
        </is>
      </c>
      <c r="E140" t="n">
        <v>3</v>
      </c>
      <c r="F140" s="14" t="n">
        <v>4995</v>
      </c>
      <c r="G140" s="14" t="n">
        <v>3200</v>
      </c>
      <c r="H140" s="11" t="n">
        <v>0</v>
      </c>
      <c r="I140" s="14" t="n">
        <v>14985</v>
      </c>
      <c r="J140" s="14" t="n">
        <v>9600</v>
      </c>
      <c r="K140" s="14" t="n">
        <v>5385</v>
      </c>
      <c r="L140" t="inlineStr">
        <is>
          <t>GCash</t>
        </is>
      </c>
      <c r="M140" t="inlineStr">
        <is>
          <t>Completed</t>
        </is>
      </c>
      <c r="N140" t="inlineStr">
        <is>
          <t>Facebook</t>
        </is>
      </c>
    </row>
    <row r="141">
      <c r="A141" t="inlineStr">
        <is>
          <t>ORD00140</t>
        </is>
      </c>
      <c r="B141" s="13" t="n">
        <v>46221</v>
      </c>
      <c r="C141" t="inlineStr">
        <is>
          <t>C023</t>
        </is>
      </c>
      <c r="D141" t="inlineStr">
        <is>
          <t>P008</t>
        </is>
      </c>
      <c r="E141" t="n">
        <v>1</v>
      </c>
      <c r="F141" s="14" t="n">
        <v>4595</v>
      </c>
      <c r="G141" s="14" t="n">
        <v>2800</v>
      </c>
      <c r="H141" s="11" t="n">
        <v>0.1</v>
      </c>
      <c r="I141" s="14" t="n">
        <v>4135.5</v>
      </c>
      <c r="J141" s="14" t="n">
        <v>2800</v>
      </c>
      <c r="K141" s="14" t="n">
        <v>1335.5</v>
      </c>
      <c r="L141" t="inlineStr">
        <is>
          <t>Maya</t>
        </is>
      </c>
      <c r="M141" t="inlineStr">
        <is>
          <t>Completed</t>
        </is>
      </c>
      <c r="N141" t="inlineStr">
        <is>
          <t>Facebook</t>
        </is>
      </c>
    </row>
    <row r="142">
      <c r="A142" t="inlineStr">
        <is>
          <t>ORD00141</t>
        </is>
      </c>
      <c r="B142" s="13" t="n">
        <v>46235</v>
      </c>
      <c r="C142" t="inlineStr">
        <is>
          <t>C020</t>
        </is>
      </c>
      <c r="D142" t="inlineStr">
        <is>
          <t>P011</t>
        </is>
      </c>
      <c r="E142" t="n">
        <v>1</v>
      </c>
      <c r="F142" s="14" t="n">
        <v>1495</v>
      </c>
      <c r="G142" s="14" t="n">
        <v>850</v>
      </c>
      <c r="H142" s="11" t="n">
        <v>0.03</v>
      </c>
      <c r="I142" s="14" t="n">
        <v>1450.15</v>
      </c>
      <c r="J142" s="14" t="n">
        <v>850</v>
      </c>
      <c r="K142" s="14" t="n">
        <v>600.1499999999999</v>
      </c>
      <c r="L142" t="inlineStr">
        <is>
          <t>Maya</t>
        </is>
      </c>
      <c r="M142" t="inlineStr">
        <is>
          <t>Completed</t>
        </is>
      </c>
      <c r="N142" t="inlineStr">
        <is>
          <t>TikTok</t>
        </is>
      </c>
    </row>
    <row r="143">
      <c r="A143" t="inlineStr">
        <is>
          <t>ORD00142</t>
        </is>
      </c>
      <c r="B143" s="13" t="n">
        <v>46039</v>
      </c>
      <c r="C143" t="inlineStr">
        <is>
          <t>C015</t>
        </is>
      </c>
      <c r="D143" t="inlineStr">
        <is>
          <t>P012</t>
        </is>
      </c>
      <c r="E143" t="n">
        <v>1</v>
      </c>
      <c r="F143" s="14" t="n">
        <v>1595</v>
      </c>
      <c r="G143" s="14" t="n">
        <v>900</v>
      </c>
      <c r="H143" s="11" t="n">
        <v>0.03</v>
      </c>
      <c r="I143" s="14" t="n">
        <v>1547.15</v>
      </c>
      <c r="J143" s="14" t="n">
        <v>900</v>
      </c>
      <c r="K143" s="14" t="n">
        <v>647.1499999999999</v>
      </c>
      <c r="L143" t="inlineStr">
        <is>
          <t>Cash</t>
        </is>
      </c>
      <c r="M143" t="inlineStr">
        <is>
          <t>Completed</t>
        </is>
      </c>
      <c r="N143" t="inlineStr">
        <is>
          <t>Website</t>
        </is>
      </c>
    </row>
    <row r="144">
      <c r="A144" t="inlineStr">
        <is>
          <t>ORD00143</t>
        </is>
      </c>
      <c r="B144" s="13" t="n">
        <v>46211</v>
      </c>
      <c r="C144" t="inlineStr">
        <is>
          <t>C012</t>
        </is>
      </c>
      <c r="D144" t="inlineStr">
        <is>
          <t>P009</t>
        </is>
      </c>
      <c r="E144" t="n">
        <v>3</v>
      </c>
      <c r="F144" s="14" t="n">
        <v>5795</v>
      </c>
      <c r="G144" s="14" t="n">
        <v>3600</v>
      </c>
      <c r="H144" s="11" t="n">
        <v>0.1</v>
      </c>
      <c r="I144" s="14" t="n">
        <v>15646.5</v>
      </c>
      <c r="J144" s="14" t="n">
        <v>10800</v>
      </c>
      <c r="K144" s="14" t="n">
        <v>4846.5</v>
      </c>
      <c r="L144" t="inlineStr">
        <is>
          <t>GCash</t>
        </is>
      </c>
      <c r="M144" t="inlineStr">
        <is>
          <t>Completed</t>
        </is>
      </c>
      <c r="N144" t="inlineStr">
        <is>
          <t>Facebook</t>
        </is>
      </c>
    </row>
    <row r="145">
      <c r="A145" t="inlineStr">
        <is>
          <t>ORD00144</t>
        </is>
      </c>
      <c r="B145" s="13" t="n">
        <v>46085</v>
      </c>
      <c r="C145" t="inlineStr">
        <is>
          <t>C021</t>
        </is>
      </c>
      <c r="D145" t="inlineStr">
        <is>
          <t>P008</t>
        </is>
      </c>
      <c r="E145" t="n">
        <v>1</v>
      </c>
      <c r="F145" s="14" t="n">
        <v>4595</v>
      </c>
      <c r="G145" s="14" t="n">
        <v>2800</v>
      </c>
      <c r="H145" s="11" t="n">
        <v>0</v>
      </c>
      <c r="I145" s="14" t="n">
        <v>4595</v>
      </c>
      <c r="J145" s="14" t="n">
        <v>2800</v>
      </c>
      <c r="K145" s="14" t="n">
        <v>1795</v>
      </c>
      <c r="L145" t="inlineStr">
        <is>
          <t>GCash</t>
        </is>
      </c>
      <c r="M145" t="inlineStr">
        <is>
          <t>Completed</t>
        </is>
      </c>
      <c r="N145" t="inlineStr">
        <is>
          <t>TikTok</t>
        </is>
      </c>
    </row>
    <row r="146">
      <c r="A146" t="inlineStr">
        <is>
          <t>ORD00145</t>
        </is>
      </c>
      <c r="B146" s="13" t="n">
        <v>46147</v>
      </c>
      <c r="C146" t="inlineStr">
        <is>
          <t>C003</t>
        </is>
      </c>
      <c r="D146" t="inlineStr">
        <is>
          <t>P003</t>
        </is>
      </c>
      <c r="E146" t="n">
        <v>2</v>
      </c>
      <c r="F146" s="14" t="n">
        <v>5995</v>
      </c>
      <c r="G146" s="14" t="n">
        <v>3800</v>
      </c>
      <c r="H146" s="11" t="n">
        <v>0</v>
      </c>
      <c r="I146" s="14" t="n">
        <v>11990</v>
      </c>
      <c r="J146" s="14" t="n">
        <v>7600</v>
      </c>
      <c r="K146" s="14" t="n">
        <v>4390</v>
      </c>
      <c r="L146" t="inlineStr">
        <is>
          <t>Cash</t>
        </is>
      </c>
      <c r="M146" t="inlineStr">
        <is>
          <t>Completed</t>
        </is>
      </c>
      <c r="N146" t="inlineStr">
        <is>
          <t>Facebook</t>
        </is>
      </c>
    </row>
    <row r="147">
      <c r="A147" t="inlineStr">
        <is>
          <t>ORD00146</t>
        </is>
      </c>
      <c r="B147" s="13" t="n">
        <v>46191</v>
      </c>
      <c r="C147" t="inlineStr">
        <is>
          <t>C001</t>
        </is>
      </c>
      <c r="D147" t="inlineStr">
        <is>
          <t>P003</t>
        </is>
      </c>
      <c r="E147" t="n">
        <v>2</v>
      </c>
      <c r="F147" s="14" t="n">
        <v>5995</v>
      </c>
      <c r="G147" s="14" t="n">
        <v>3800</v>
      </c>
      <c r="H147" s="11" t="n">
        <v>0.05</v>
      </c>
      <c r="I147" s="14" t="n">
        <v>11390.5</v>
      </c>
      <c r="J147" s="14" t="n">
        <v>7600</v>
      </c>
      <c r="K147" s="14" t="n">
        <v>3790.5</v>
      </c>
      <c r="L147" t="inlineStr">
        <is>
          <t>Card</t>
        </is>
      </c>
      <c r="M147" t="inlineStr">
        <is>
          <t>Completed</t>
        </is>
      </c>
      <c r="N147" t="inlineStr">
        <is>
          <t>Facebook</t>
        </is>
      </c>
    </row>
    <row r="148">
      <c r="A148" t="inlineStr">
        <is>
          <t>ORD00147</t>
        </is>
      </c>
      <c r="B148" s="13" t="n">
        <v>46089</v>
      </c>
      <c r="C148" t="inlineStr">
        <is>
          <t>C004</t>
        </is>
      </c>
      <c r="D148" t="inlineStr">
        <is>
          <t>P009</t>
        </is>
      </c>
      <c r="E148" t="n">
        <v>1</v>
      </c>
      <c r="F148" s="14" t="n">
        <v>5795</v>
      </c>
      <c r="G148" s="14" t="n">
        <v>3600</v>
      </c>
      <c r="H148" s="11" t="n">
        <v>0</v>
      </c>
      <c r="I148" s="14" t="n">
        <v>5795</v>
      </c>
      <c r="J148" s="14" t="n">
        <v>3600</v>
      </c>
      <c r="K148" s="14" t="n">
        <v>2195</v>
      </c>
      <c r="L148" t="inlineStr">
        <is>
          <t>GCash</t>
        </is>
      </c>
      <c r="M148" t="inlineStr">
        <is>
          <t>Completed</t>
        </is>
      </c>
      <c r="N148" t="inlineStr">
        <is>
          <t>TikTok</t>
        </is>
      </c>
    </row>
    <row r="149">
      <c r="A149" t="inlineStr">
        <is>
          <t>ORD00148</t>
        </is>
      </c>
      <c r="B149" s="13" t="n">
        <v>46144</v>
      </c>
      <c r="C149" t="inlineStr">
        <is>
          <t>C009</t>
        </is>
      </c>
      <c r="D149" t="inlineStr">
        <is>
          <t>P010</t>
        </is>
      </c>
      <c r="E149" t="n">
        <v>1</v>
      </c>
      <c r="F149" s="14" t="n">
        <v>4495</v>
      </c>
      <c r="G149" s="14" t="n">
        <v>2600</v>
      </c>
      <c r="H149" s="11" t="n">
        <v>0</v>
      </c>
      <c r="I149" s="14" t="n">
        <v>4495</v>
      </c>
      <c r="J149" s="14" t="n">
        <v>2600</v>
      </c>
      <c r="K149" s="14" t="n">
        <v>1895</v>
      </c>
      <c r="L149" t="inlineStr">
        <is>
          <t>GCash</t>
        </is>
      </c>
      <c r="M149" t="inlineStr">
        <is>
          <t>Completed</t>
        </is>
      </c>
      <c r="N149" t="inlineStr">
        <is>
          <t>Walk-in</t>
        </is>
      </c>
    </row>
    <row r="150">
      <c r="A150" t="inlineStr">
        <is>
          <t>ORD00149</t>
        </is>
      </c>
      <c r="B150" s="13" t="n">
        <v>46292</v>
      </c>
      <c r="C150" t="inlineStr">
        <is>
          <t>C015</t>
        </is>
      </c>
      <c r="D150" t="inlineStr">
        <is>
          <t>P002</t>
        </is>
      </c>
      <c r="E150" t="n">
        <v>2</v>
      </c>
      <c r="F150" s="14" t="n">
        <v>5495</v>
      </c>
      <c r="G150" s="14" t="n">
        <v>3500</v>
      </c>
      <c r="H150" s="11" t="n">
        <v>0.03</v>
      </c>
      <c r="I150" s="14" t="n">
        <v>10660.3</v>
      </c>
      <c r="J150" s="14" t="n">
        <v>7000</v>
      </c>
      <c r="K150" s="14" t="n">
        <v>3660.299999999999</v>
      </c>
      <c r="L150" t="inlineStr">
        <is>
          <t>Card</t>
        </is>
      </c>
      <c r="M150" t="inlineStr">
        <is>
          <t>Completed</t>
        </is>
      </c>
      <c r="N150" t="inlineStr">
        <is>
          <t>Website</t>
        </is>
      </c>
    </row>
    <row r="151">
      <c r="A151" t="inlineStr">
        <is>
          <t>ORD00150</t>
        </is>
      </c>
      <c r="B151" s="13" t="n">
        <v>46254</v>
      </c>
      <c r="C151" t="inlineStr">
        <is>
          <t>C002</t>
        </is>
      </c>
      <c r="D151" t="inlineStr">
        <is>
          <t>P009</t>
        </is>
      </c>
      <c r="E151" t="n">
        <v>1</v>
      </c>
      <c r="F151" s="14" t="n">
        <v>5795</v>
      </c>
      <c r="G151" s="14" t="n">
        <v>3600</v>
      </c>
      <c r="H151" s="11" t="n">
        <v>0.05</v>
      </c>
      <c r="I151" s="14" t="n">
        <v>5505.25</v>
      </c>
      <c r="J151" s="14" t="n">
        <v>3600</v>
      </c>
      <c r="K151" s="14" t="n">
        <v>1905.25</v>
      </c>
      <c r="L151" t="inlineStr">
        <is>
          <t>Card</t>
        </is>
      </c>
      <c r="M151" t="inlineStr">
        <is>
          <t>Completed</t>
        </is>
      </c>
      <c r="N151" t="inlineStr">
        <is>
          <t>Website</t>
        </is>
      </c>
    </row>
    <row r="152">
      <c r="A152" t="inlineStr">
        <is>
          <t>ORD00151</t>
        </is>
      </c>
      <c r="B152" s="13" t="n">
        <v>46054</v>
      </c>
      <c r="C152" t="inlineStr">
        <is>
          <t>C022</t>
        </is>
      </c>
      <c r="D152" t="inlineStr">
        <is>
          <t>P008</t>
        </is>
      </c>
      <c r="E152" t="n">
        <v>2</v>
      </c>
      <c r="F152" s="14" t="n">
        <v>4595</v>
      </c>
      <c r="G152" s="14" t="n">
        <v>2800</v>
      </c>
      <c r="H152" s="11" t="n">
        <v>0.03</v>
      </c>
      <c r="I152" s="14" t="n">
        <v>8914.299999999999</v>
      </c>
      <c r="J152" s="14" t="n">
        <v>5600</v>
      </c>
      <c r="K152" s="14" t="n">
        <v>3314.299999999999</v>
      </c>
      <c r="L152" t="inlineStr">
        <is>
          <t>GCash</t>
        </is>
      </c>
      <c r="M152" t="inlineStr">
        <is>
          <t>Completed</t>
        </is>
      </c>
      <c r="N152" t="inlineStr">
        <is>
          <t>Walk-in</t>
        </is>
      </c>
    </row>
    <row r="153">
      <c r="A153" t="inlineStr">
        <is>
          <t>ORD00152</t>
        </is>
      </c>
      <c r="B153" s="13" t="n">
        <v>46060</v>
      </c>
      <c r="C153" t="inlineStr">
        <is>
          <t>C003</t>
        </is>
      </c>
      <c r="D153" t="inlineStr">
        <is>
          <t>P002</t>
        </is>
      </c>
      <c r="E153" t="n">
        <v>1</v>
      </c>
      <c r="F153" s="14" t="n">
        <v>5495</v>
      </c>
      <c r="G153" s="14" t="n">
        <v>3500</v>
      </c>
      <c r="H153" s="11" t="n">
        <v>0</v>
      </c>
      <c r="I153" s="14" t="n">
        <v>5495</v>
      </c>
      <c r="J153" s="14" t="n">
        <v>3500</v>
      </c>
      <c r="K153" s="14" t="n">
        <v>1995</v>
      </c>
      <c r="L153" t="inlineStr">
        <is>
          <t>Cash</t>
        </is>
      </c>
      <c r="M153" t="inlineStr">
        <is>
          <t>Completed</t>
        </is>
      </c>
      <c r="N153" t="inlineStr">
        <is>
          <t>TikTok</t>
        </is>
      </c>
    </row>
    <row r="154">
      <c r="A154" t="inlineStr">
        <is>
          <t>ORD00153</t>
        </is>
      </c>
      <c r="B154" s="13" t="n">
        <v>46218</v>
      </c>
      <c r="C154" t="inlineStr">
        <is>
          <t>C017</t>
        </is>
      </c>
      <c r="D154" t="inlineStr">
        <is>
          <t>P010</t>
        </is>
      </c>
      <c r="E154" t="n">
        <v>1</v>
      </c>
      <c r="F154" s="14" t="n">
        <v>4495</v>
      </c>
      <c r="G154" s="14" t="n">
        <v>2600</v>
      </c>
      <c r="H154" s="11" t="n">
        <v>0.03</v>
      </c>
      <c r="I154" s="14" t="n">
        <v>4360.15</v>
      </c>
      <c r="J154" s="14" t="n">
        <v>2600</v>
      </c>
      <c r="K154" s="14" t="n">
        <v>1760.15</v>
      </c>
      <c r="L154" t="inlineStr">
        <is>
          <t>Maya</t>
        </is>
      </c>
      <c r="M154" t="inlineStr">
        <is>
          <t>Completed</t>
        </is>
      </c>
      <c r="N154" t="inlineStr">
        <is>
          <t>Website</t>
        </is>
      </c>
    </row>
    <row r="155">
      <c r="A155" t="inlineStr">
        <is>
          <t>ORD00154</t>
        </is>
      </c>
      <c r="B155" s="13" t="n">
        <v>46133</v>
      </c>
      <c r="C155" t="inlineStr">
        <is>
          <t>C014</t>
        </is>
      </c>
      <c r="D155" t="inlineStr">
        <is>
          <t>P007</t>
        </is>
      </c>
      <c r="E155" t="n">
        <v>1</v>
      </c>
      <c r="F155" s="14" t="n">
        <v>5295</v>
      </c>
      <c r="G155" s="14" t="n">
        <v>3300</v>
      </c>
      <c r="H155" s="11" t="n">
        <v>0</v>
      </c>
      <c r="I155" s="14" t="n">
        <v>5295</v>
      </c>
      <c r="J155" s="14" t="n">
        <v>3300</v>
      </c>
      <c r="K155" s="14" t="n">
        <v>1995</v>
      </c>
      <c r="L155" t="inlineStr">
        <is>
          <t>Card</t>
        </is>
      </c>
      <c r="M155" t="inlineStr">
        <is>
          <t>Completed</t>
        </is>
      </c>
      <c r="N155" t="inlineStr">
        <is>
          <t>Walk-in</t>
        </is>
      </c>
    </row>
    <row r="156">
      <c r="A156" t="inlineStr">
        <is>
          <t>ORD00155</t>
        </is>
      </c>
      <c r="B156" s="13" t="n">
        <v>46235</v>
      </c>
      <c r="C156" t="inlineStr">
        <is>
          <t>C011</t>
        </is>
      </c>
      <c r="D156" t="inlineStr">
        <is>
          <t>P012</t>
        </is>
      </c>
      <c r="E156" t="n">
        <v>1</v>
      </c>
      <c r="F156" s="14" t="n">
        <v>1595</v>
      </c>
      <c r="G156" s="14" t="n">
        <v>900</v>
      </c>
      <c r="H156" s="11" t="n">
        <v>0.03</v>
      </c>
      <c r="I156" s="14" t="n">
        <v>1547.15</v>
      </c>
      <c r="J156" s="14" t="n">
        <v>900</v>
      </c>
      <c r="K156" s="14" t="n">
        <v>647.1499999999999</v>
      </c>
      <c r="L156" t="inlineStr">
        <is>
          <t>Card</t>
        </is>
      </c>
      <c r="M156" t="inlineStr">
        <is>
          <t>Completed</t>
        </is>
      </c>
      <c r="N156" t="inlineStr">
        <is>
          <t>Facebook</t>
        </is>
      </c>
    </row>
    <row r="157">
      <c r="A157" t="inlineStr">
        <is>
          <t>ORD00156</t>
        </is>
      </c>
      <c r="B157" s="13" t="n">
        <v>46265</v>
      </c>
      <c r="C157" t="inlineStr">
        <is>
          <t>C003</t>
        </is>
      </c>
      <c r="D157" t="inlineStr">
        <is>
          <t>P002</t>
        </is>
      </c>
      <c r="E157" t="n">
        <v>1</v>
      </c>
      <c r="F157" s="14" t="n">
        <v>5495</v>
      </c>
      <c r="G157" s="14" t="n">
        <v>3500</v>
      </c>
      <c r="H157" s="11" t="n">
        <v>0</v>
      </c>
      <c r="I157" s="14" t="n">
        <v>5495</v>
      </c>
      <c r="J157" s="14" t="n">
        <v>3500</v>
      </c>
      <c r="K157" s="14" t="n">
        <v>1995</v>
      </c>
      <c r="L157" t="inlineStr">
        <is>
          <t>Maya</t>
        </is>
      </c>
      <c r="M157" t="inlineStr">
        <is>
          <t>Completed</t>
        </is>
      </c>
      <c r="N157" t="inlineStr">
        <is>
          <t>TikTok</t>
        </is>
      </c>
    </row>
    <row r="158">
      <c r="A158" t="inlineStr">
        <is>
          <t>ORD00157</t>
        </is>
      </c>
      <c r="B158" s="13" t="n">
        <v>46089</v>
      </c>
      <c r="C158" t="inlineStr">
        <is>
          <t>C018</t>
        </is>
      </c>
      <c r="D158" t="inlineStr">
        <is>
          <t>P009</t>
        </is>
      </c>
      <c r="E158" t="n">
        <v>1</v>
      </c>
      <c r="F158" s="14" t="n">
        <v>5795</v>
      </c>
      <c r="G158" s="14" t="n">
        <v>3600</v>
      </c>
      <c r="H158" s="11" t="n">
        <v>0.05</v>
      </c>
      <c r="I158" s="14" t="n">
        <v>5505.25</v>
      </c>
      <c r="J158" s="14" t="n">
        <v>3600</v>
      </c>
      <c r="K158" s="14" t="n">
        <v>1905.25</v>
      </c>
      <c r="L158" t="inlineStr">
        <is>
          <t>Card</t>
        </is>
      </c>
      <c r="M158" t="inlineStr">
        <is>
          <t>Completed</t>
        </is>
      </c>
      <c r="N158" t="inlineStr">
        <is>
          <t>Walk-in</t>
        </is>
      </c>
    </row>
    <row r="159">
      <c r="A159" t="inlineStr">
        <is>
          <t>ORD00158</t>
        </is>
      </c>
      <c r="B159" s="13" t="n">
        <v>46204</v>
      </c>
      <c r="C159" t="inlineStr">
        <is>
          <t>C028</t>
        </is>
      </c>
      <c r="D159" t="inlineStr">
        <is>
          <t>P011</t>
        </is>
      </c>
      <c r="E159" t="n">
        <v>3</v>
      </c>
      <c r="F159" s="14" t="n">
        <v>1495</v>
      </c>
      <c r="G159" s="14" t="n">
        <v>850</v>
      </c>
      <c r="H159" s="11" t="n">
        <v>0.03</v>
      </c>
      <c r="I159" s="14" t="n">
        <v>4350.45</v>
      </c>
      <c r="J159" s="14" t="n">
        <v>2550</v>
      </c>
      <c r="K159" s="14" t="n">
        <v>1800.45</v>
      </c>
      <c r="L159" t="inlineStr">
        <is>
          <t>GCash</t>
        </is>
      </c>
      <c r="M159" t="inlineStr">
        <is>
          <t>Completed</t>
        </is>
      </c>
      <c r="N159" t="inlineStr">
        <is>
          <t>TikTok</t>
        </is>
      </c>
    </row>
    <row r="160">
      <c r="A160" t="inlineStr">
        <is>
          <t>ORD00159</t>
        </is>
      </c>
      <c r="B160" s="13" t="n">
        <v>46203</v>
      </c>
      <c r="C160" t="inlineStr">
        <is>
          <t>C005</t>
        </is>
      </c>
      <c r="D160" t="inlineStr">
        <is>
          <t>P002</t>
        </is>
      </c>
      <c r="E160" t="n">
        <v>1</v>
      </c>
      <c r="F160" s="14" t="n">
        <v>5495</v>
      </c>
      <c r="G160" s="14" t="n">
        <v>3500</v>
      </c>
      <c r="H160" s="11" t="n">
        <v>0</v>
      </c>
      <c r="I160" s="14" t="n">
        <v>5495</v>
      </c>
      <c r="J160" s="14" t="n">
        <v>3500</v>
      </c>
      <c r="K160" s="14" t="n">
        <v>1995</v>
      </c>
      <c r="L160" t="inlineStr">
        <is>
          <t>Maya</t>
        </is>
      </c>
      <c r="M160" t="inlineStr">
        <is>
          <t>Completed</t>
        </is>
      </c>
      <c r="N160" t="inlineStr">
        <is>
          <t>Website</t>
        </is>
      </c>
    </row>
    <row r="161">
      <c r="A161" t="inlineStr">
        <is>
          <t>ORD00160</t>
        </is>
      </c>
      <c r="B161" s="13" t="n">
        <v>46202</v>
      </c>
      <c r="C161" t="inlineStr">
        <is>
          <t>C019</t>
        </is>
      </c>
      <c r="D161" t="inlineStr">
        <is>
          <t>P009</t>
        </is>
      </c>
      <c r="E161" t="n">
        <v>1</v>
      </c>
      <c r="F161" s="14" t="n">
        <v>5795</v>
      </c>
      <c r="G161" s="14" t="n">
        <v>3600</v>
      </c>
      <c r="H161" s="11" t="n">
        <v>0</v>
      </c>
      <c r="I161" s="14" t="n">
        <v>5795</v>
      </c>
      <c r="J161" s="14" t="n">
        <v>3600</v>
      </c>
      <c r="K161" s="14" t="n">
        <v>2195</v>
      </c>
      <c r="L161" t="inlineStr">
        <is>
          <t>Cash</t>
        </is>
      </c>
      <c r="M161" t="inlineStr">
        <is>
          <t>Completed</t>
        </is>
      </c>
      <c r="N161" t="inlineStr">
        <is>
          <t>Website</t>
        </is>
      </c>
    </row>
    <row r="162">
      <c r="A162" t="inlineStr">
        <is>
          <t>ORD00161</t>
        </is>
      </c>
      <c r="B162" s="13" t="n">
        <v>46159</v>
      </c>
      <c r="C162" t="inlineStr">
        <is>
          <t>C025</t>
        </is>
      </c>
      <c r="D162" t="inlineStr">
        <is>
          <t>P001</t>
        </is>
      </c>
      <c r="E162" t="n">
        <v>1</v>
      </c>
      <c r="F162" s="14" t="n">
        <v>4995</v>
      </c>
      <c r="G162" s="14" t="n">
        <v>3200</v>
      </c>
      <c r="H162" s="11" t="n">
        <v>0.1</v>
      </c>
      <c r="I162" s="14" t="n">
        <v>4495.5</v>
      </c>
      <c r="J162" s="14" t="n">
        <v>3200</v>
      </c>
      <c r="K162" s="14" t="n">
        <v>1295.5</v>
      </c>
      <c r="L162" t="inlineStr">
        <is>
          <t>Card</t>
        </is>
      </c>
      <c r="M162" t="inlineStr">
        <is>
          <t>Completed</t>
        </is>
      </c>
      <c r="N162" t="inlineStr">
        <is>
          <t>TikTok</t>
        </is>
      </c>
    </row>
    <row r="163">
      <c r="A163" t="inlineStr">
        <is>
          <t>ORD00162</t>
        </is>
      </c>
      <c r="B163" s="13" t="n">
        <v>46026</v>
      </c>
      <c r="C163" t="inlineStr">
        <is>
          <t>C022</t>
        </is>
      </c>
      <c r="D163" t="inlineStr">
        <is>
          <t>P003</t>
        </is>
      </c>
      <c r="E163" t="n">
        <v>2</v>
      </c>
      <c r="F163" s="14" t="n">
        <v>5995</v>
      </c>
      <c r="G163" s="14" t="n">
        <v>3800</v>
      </c>
      <c r="H163" s="11" t="n">
        <v>0.05</v>
      </c>
      <c r="I163" s="14" t="n">
        <v>11390.5</v>
      </c>
      <c r="J163" s="14" t="n">
        <v>7600</v>
      </c>
      <c r="K163" s="14" t="n">
        <v>3790.5</v>
      </c>
      <c r="L163" t="inlineStr">
        <is>
          <t>Maya</t>
        </is>
      </c>
      <c r="M163" t="inlineStr">
        <is>
          <t>Completed</t>
        </is>
      </c>
      <c r="N163" t="inlineStr">
        <is>
          <t>Website</t>
        </is>
      </c>
    </row>
    <row r="164">
      <c r="A164" t="inlineStr">
        <is>
          <t>ORD00163</t>
        </is>
      </c>
      <c r="B164" s="13" t="n">
        <v>46069</v>
      </c>
      <c r="C164" t="inlineStr">
        <is>
          <t>C014</t>
        </is>
      </c>
      <c r="D164" t="inlineStr">
        <is>
          <t>P012</t>
        </is>
      </c>
      <c r="E164" t="n">
        <v>1</v>
      </c>
      <c r="F164" s="14" t="n">
        <v>1595</v>
      </c>
      <c r="G164" s="14" t="n">
        <v>900</v>
      </c>
      <c r="H164" s="11" t="n">
        <v>0.03</v>
      </c>
      <c r="I164" s="14" t="n">
        <v>1547.15</v>
      </c>
      <c r="J164" s="14" t="n">
        <v>900</v>
      </c>
      <c r="K164" s="14" t="n">
        <v>647.1499999999999</v>
      </c>
      <c r="L164" t="inlineStr">
        <is>
          <t>Maya</t>
        </is>
      </c>
      <c r="M164" t="inlineStr">
        <is>
          <t>Completed</t>
        </is>
      </c>
      <c r="N164" t="inlineStr">
        <is>
          <t>TikTok</t>
        </is>
      </c>
    </row>
    <row r="165">
      <c r="A165" t="inlineStr">
        <is>
          <t>ORD00164</t>
        </is>
      </c>
      <c r="B165" s="13" t="n">
        <v>46182</v>
      </c>
      <c r="C165" t="inlineStr">
        <is>
          <t>C020</t>
        </is>
      </c>
      <c r="D165" t="inlineStr">
        <is>
          <t>P012</t>
        </is>
      </c>
      <c r="E165" t="n">
        <v>1</v>
      </c>
      <c r="F165" s="14" t="n">
        <v>1595</v>
      </c>
      <c r="G165" s="14" t="n">
        <v>900</v>
      </c>
      <c r="H165" s="11" t="n">
        <v>0.05</v>
      </c>
      <c r="I165" s="14" t="n">
        <v>1515.25</v>
      </c>
      <c r="J165" s="14" t="n">
        <v>900</v>
      </c>
      <c r="K165" s="14" t="n">
        <v>615.25</v>
      </c>
      <c r="L165" t="inlineStr">
        <is>
          <t>GCash</t>
        </is>
      </c>
      <c r="M165" t="inlineStr">
        <is>
          <t>Completed</t>
        </is>
      </c>
      <c r="N165" t="inlineStr">
        <is>
          <t>Facebook</t>
        </is>
      </c>
    </row>
    <row r="166">
      <c r="A166" t="inlineStr">
        <is>
          <t>ORD00165</t>
        </is>
      </c>
      <c r="B166" s="13" t="n">
        <v>46103</v>
      </c>
      <c r="C166" t="inlineStr">
        <is>
          <t>C009</t>
        </is>
      </c>
      <c r="D166" t="inlineStr">
        <is>
          <t>P010</t>
        </is>
      </c>
      <c r="E166" t="n">
        <v>1</v>
      </c>
      <c r="F166" s="14" t="n">
        <v>4495</v>
      </c>
      <c r="G166" s="14" t="n">
        <v>2600</v>
      </c>
      <c r="H166" s="11" t="n">
        <v>0</v>
      </c>
      <c r="I166" s="14" t="n">
        <v>4495</v>
      </c>
      <c r="J166" s="14" t="n">
        <v>2600</v>
      </c>
      <c r="K166" s="14" t="n">
        <v>1895</v>
      </c>
      <c r="L166" t="inlineStr">
        <is>
          <t>Maya</t>
        </is>
      </c>
      <c r="M166" t="inlineStr">
        <is>
          <t>Completed</t>
        </is>
      </c>
      <c r="N166" t="inlineStr">
        <is>
          <t>Walk-in</t>
        </is>
      </c>
    </row>
    <row r="167">
      <c r="A167" t="inlineStr">
        <is>
          <t>ORD00166</t>
        </is>
      </c>
      <c r="B167" s="13" t="n">
        <v>46249</v>
      </c>
      <c r="C167" t="inlineStr">
        <is>
          <t>C004</t>
        </is>
      </c>
      <c r="D167" t="inlineStr">
        <is>
          <t>P007</t>
        </is>
      </c>
      <c r="E167" t="n">
        <v>1</v>
      </c>
      <c r="F167" s="14" t="n">
        <v>5295</v>
      </c>
      <c r="G167" s="14" t="n">
        <v>3300</v>
      </c>
      <c r="H167" s="11" t="n">
        <v>0.05</v>
      </c>
      <c r="I167" s="14" t="n">
        <v>5030.25</v>
      </c>
      <c r="J167" s="14" t="n">
        <v>3300</v>
      </c>
      <c r="K167" s="14" t="n">
        <v>1730.25</v>
      </c>
      <c r="L167" t="inlineStr">
        <is>
          <t>Card</t>
        </is>
      </c>
      <c r="M167" t="inlineStr">
        <is>
          <t>Completed</t>
        </is>
      </c>
      <c r="N167" t="inlineStr">
        <is>
          <t>TikTok</t>
        </is>
      </c>
    </row>
    <row r="168">
      <c r="A168" t="inlineStr">
        <is>
          <t>ORD00167</t>
        </is>
      </c>
      <c r="B168" s="13" t="n">
        <v>46272</v>
      </c>
      <c r="C168" t="inlineStr">
        <is>
          <t>C008</t>
        </is>
      </c>
      <c r="D168" t="inlineStr">
        <is>
          <t>P009</t>
        </is>
      </c>
      <c r="E168" t="n">
        <v>2</v>
      </c>
      <c r="F168" s="14" t="n">
        <v>5795</v>
      </c>
      <c r="G168" s="14" t="n">
        <v>3600</v>
      </c>
      <c r="H168" s="11" t="n">
        <v>0</v>
      </c>
      <c r="I168" s="14" t="n">
        <v>0</v>
      </c>
      <c r="J168" s="14" t="n">
        <v>0</v>
      </c>
      <c r="K168" s="14" t="n">
        <v>0</v>
      </c>
      <c r="L168" t="inlineStr">
        <is>
          <t>Maya</t>
        </is>
      </c>
      <c r="M168" t="inlineStr">
        <is>
          <t>Cancelled</t>
        </is>
      </c>
      <c r="N168" t="inlineStr">
        <is>
          <t>Website</t>
        </is>
      </c>
    </row>
    <row r="169">
      <c r="A169" t="inlineStr">
        <is>
          <t>ORD00168</t>
        </is>
      </c>
      <c r="B169" s="13" t="n">
        <v>46026</v>
      </c>
      <c r="C169" t="inlineStr">
        <is>
          <t>C025</t>
        </is>
      </c>
      <c r="D169" t="inlineStr">
        <is>
          <t>P004</t>
        </is>
      </c>
      <c r="E169" t="n">
        <v>1</v>
      </c>
      <c r="F169" s="14" t="n">
        <v>3995</v>
      </c>
      <c r="G169" s="14" t="n">
        <v>2200</v>
      </c>
      <c r="H169" s="11" t="n">
        <v>0</v>
      </c>
      <c r="I169" s="14" t="n">
        <v>3995</v>
      </c>
      <c r="J169" s="14" t="n">
        <v>2200</v>
      </c>
      <c r="K169" s="14" t="n">
        <v>1795</v>
      </c>
      <c r="L169" t="inlineStr">
        <is>
          <t>Cash</t>
        </is>
      </c>
      <c r="M169" t="inlineStr">
        <is>
          <t>Completed</t>
        </is>
      </c>
      <c r="N169" t="inlineStr">
        <is>
          <t>TikTok</t>
        </is>
      </c>
    </row>
    <row r="170">
      <c r="A170" t="inlineStr">
        <is>
          <t>ORD00169</t>
        </is>
      </c>
      <c r="B170" s="13" t="n">
        <v>46190</v>
      </c>
      <c r="C170" t="inlineStr">
        <is>
          <t>C014</t>
        </is>
      </c>
      <c r="D170" t="inlineStr">
        <is>
          <t>P002</t>
        </is>
      </c>
      <c r="E170" t="n">
        <v>1</v>
      </c>
      <c r="F170" s="14" t="n">
        <v>5495</v>
      </c>
      <c r="G170" s="14" t="n">
        <v>3500</v>
      </c>
      <c r="H170" s="11" t="n">
        <v>0.1</v>
      </c>
      <c r="I170" s="14" t="n">
        <v>4945.5</v>
      </c>
      <c r="J170" s="14" t="n">
        <v>3500</v>
      </c>
      <c r="K170" s="14" t="n">
        <v>1445.5</v>
      </c>
      <c r="L170" t="inlineStr">
        <is>
          <t>Cash</t>
        </is>
      </c>
      <c r="M170" t="inlineStr">
        <is>
          <t>Completed</t>
        </is>
      </c>
      <c r="N170" t="inlineStr">
        <is>
          <t>Facebook</t>
        </is>
      </c>
    </row>
    <row r="171">
      <c r="A171" t="inlineStr">
        <is>
          <t>ORD00170</t>
        </is>
      </c>
      <c r="B171" s="13" t="n">
        <v>46279</v>
      </c>
      <c r="C171" t="inlineStr">
        <is>
          <t>C003</t>
        </is>
      </c>
      <c r="D171" t="inlineStr">
        <is>
          <t>P009</t>
        </is>
      </c>
      <c r="E171" t="n">
        <v>2</v>
      </c>
      <c r="F171" s="14" t="n">
        <v>5795</v>
      </c>
      <c r="G171" s="14" t="n">
        <v>3600</v>
      </c>
      <c r="H171" s="11" t="n">
        <v>0</v>
      </c>
      <c r="I171" s="14" t="n">
        <v>11590</v>
      </c>
      <c r="J171" s="14" t="n">
        <v>7200</v>
      </c>
      <c r="K171" s="14" t="n">
        <v>4390</v>
      </c>
      <c r="L171" t="inlineStr">
        <is>
          <t>Maya</t>
        </is>
      </c>
      <c r="M171" t="inlineStr">
        <is>
          <t>Completed</t>
        </is>
      </c>
      <c r="N171" t="inlineStr">
        <is>
          <t>Website</t>
        </is>
      </c>
    </row>
    <row r="172">
      <c r="A172" t="inlineStr">
        <is>
          <t>ORD00171</t>
        </is>
      </c>
      <c r="B172" s="13" t="n">
        <v>46246</v>
      </c>
      <c r="C172" t="inlineStr">
        <is>
          <t>C028</t>
        </is>
      </c>
      <c r="D172" t="inlineStr">
        <is>
          <t>P001</t>
        </is>
      </c>
      <c r="E172" t="n">
        <v>1</v>
      </c>
      <c r="F172" s="14" t="n">
        <v>4995</v>
      </c>
      <c r="G172" s="14" t="n">
        <v>3200</v>
      </c>
      <c r="H172" s="11" t="n">
        <v>0</v>
      </c>
      <c r="I172" s="14" t="n">
        <v>4995</v>
      </c>
      <c r="J172" s="14" t="n">
        <v>3200</v>
      </c>
      <c r="K172" s="14" t="n">
        <v>1795</v>
      </c>
      <c r="L172" t="inlineStr">
        <is>
          <t>Card</t>
        </is>
      </c>
      <c r="M172" t="inlineStr">
        <is>
          <t>Completed</t>
        </is>
      </c>
      <c r="N172" t="inlineStr">
        <is>
          <t>Walk-in</t>
        </is>
      </c>
    </row>
    <row r="173">
      <c r="A173" t="inlineStr">
        <is>
          <t>ORD00172</t>
        </is>
      </c>
      <c r="B173" s="13" t="n">
        <v>46236</v>
      </c>
      <c r="C173" t="inlineStr">
        <is>
          <t>C011</t>
        </is>
      </c>
      <c r="D173" t="inlineStr">
        <is>
          <t>P005</t>
        </is>
      </c>
      <c r="E173" t="n">
        <v>1</v>
      </c>
      <c r="F173" s="14" t="n">
        <v>3695</v>
      </c>
      <c r="G173" s="14" t="n">
        <v>2100</v>
      </c>
      <c r="H173" s="11" t="n">
        <v>0</v>
      </c>
      <c r="I173" s="14" t="n">
        <v>3695</v>
      </c>
      <c r="J173" s="14" t="n">
        <v>2100</v>
      </c>
      <c r="K173" s="14" t="n">
        <v>1595</v>
      </c>
      <c r="L173" t="inlineStr">
        <is>
          <t>Cash</t>
        </is>
      </c>
      <c r="M173" t="inlineStr">
        <is>
          <t>Completed</t>
        </is>
      </c>
      <c r="N173" t="inlineStr">
        <is>
          <t>Walk-in</t>
        </is>
      </c>
    </row>
    <row r="174">
      <c r="A174" t="inlineStr">
        <is>
          <t>ORD00173</t>
        </is>
      </c>
      <c r="B174" s="13" t="n">
        <v>46208</v>
      </c>
      <c r="C174" t="inlineStr">
        <is>
          <t>C008</t>
        </is>
      </c>
      <c r="D174" t="inlineStr">
        <is>
          <t>P002</t>
        </is>
      </c>
      <c r="E174" t="n">
        <v>1</v>
      </c>
      <c r="F174" s="14" t="n">
        <v>5495</v>
      </c>
      <c r="G174" s="14" t="n">
        <v>3500</v>
      </c>
      <c r="H174" s="11" t="n">
        <v>0</v>
      </c>
      <c r="I174" s="14" t="n">
        <v>5495</v>
      </c>
      <c r="J174" s="14" t="n">
        <v>3500</v>
      </c>
      <c r="K174" s="14" t="n">
        <v>1995</v>
      </c>
      <c r="L174" t="inlineStr">
        <is>
          <t>Maya</t>
        </is>
      </c>
      <c r="M174" t="inlineStr">
        <is>
          <t>Completed</t>
        </is>
      </c>
      <c r="N174" t="inlineStr">
        <is>
          <t>Website</t>
        </is>
      </c>
    </row>
    <row r="175">
      <c r="A175" t="inlineStr">
        <is>
          <t>ORD00174</t>
        </is>
      </c>
      <c r="B175" s="13" t="n">
        <v>46225</v>
      </c>
      <c r="C175" t="inlineStr">
        <is>
          <t>C011</t>
        </is>
      </c>
      <c r="D175" t="inlineStr">
        <is>
          <t>P005</t>
        </is>
      </c>
      <c r="E175" t="n">
        <v>2</v>
      </c>
      <c r="F175" s="14" t="n">
        <v>3695</v>
      </c>
      <c r="G175" s="14" t="n">
        <v>2100</v>
      </c>
      <c r="H175" s="11" t="n">
        <v>0</v>
      </c>
      <c r="I175" s="14" t="n">
        <v>7390</v>
      </c>
      <c r="J175" s="14" t="n">
        <v>4200</v>
      </c>
      <c r="K175" s="14" t="n">
        <v>3190</v>
      </c>
      <c r="L175" t="inlineStr">
        <is>
          <t>Cash</t>
        </is>
      </c>
      <c r="M175" t="inlineStr">
        <is>
          <t>Completed</t>
        </is>
      </c>
      <c r="N175" t="inlineStr">
        <is>
          <t>Website</t>
        </is>
      </c>
    </row>
    <row r="176">
      <c r="A176" t="inlineStr">
        <is>
          <t>ORD00175</t>
        </is>
      </c>
      <c r="B176" s="13" t="n">
        <v>46294</v>
      </c>
      <c r="C176" t="inlineStr">
        <is>
          <t>C012</t>
        </is>
      </c>
      <c r="D176" t="inlineStr">
        <is>
          <t>P009</t>
        </is>
      </c>
      <c r="E176" t="n">
        <v>1</v>
      </c>
      <c r="F176" s="14" t="n">
        <v>5795</v>
      </c>
      <c r="G176" s="14" t="n">
        <v>3600</v>
      </c>
      <c r="H176" s="11" t="n">
        <v>0</v>
      </c>
      <c r="I176" s="14" t="n">
        <v>5795</v>
      </c>
      <c r="J176" s="14" t="n">
        <v>3600</v>
      </c>
      <c r="K176" s="14" t="n">
        <v>2195</v>
      </c>
      <c r="L176" t="inlineStr">
        <is>
          <t>Cash</t>
        </is>
      </c>
      <c r="M176" t="inlineStr">
        <is>
          <t>Completed</t>
        </is>
      </c>
      <c r="N176" t="inlineStr">
        <is>
          <t>Facebook</t>
        </is>
      </c>
    </row>
    <row r="177">
      <c r="A177" t="inlineStr">
        <is>
          <t>ORD00176</t>
        </is>
      </c>
      <c r="B177" s="13" t="n">
        <v>46154</v>
      </c>
      <c r="C177" t="inlineStr">
        <is>
          <t>C025</t>
        </is>
      </c>
      <c r="D177" t="inlineStr">
        <is>
          <t>P004</t>
        </is>
      </c>
      <c r="E177" t="n">
        <v>1</v>
      </c>
      <c r="F177" s="14" t="n">
        <v>3995</v>
      </c>
      <c r="G177" s="14" t="n">
        <v>2200</v>
      </c>
      <c r="H177" s="11" t="n">
        <v>0</v>
      </c>
      <c r="I177" s="14" t="n">
        <v>3995</v>
      </c>
      <c r="J177" s="14" t="n">
        <v>2200</v>
      </c>
      <c r="K177" s="14" t="n">
        <v>1795</v>
      </c>
      <c r="L177" t="inlineStr">
        <is>
          <t>GCash</t>
        </is>
      </c>
      <c r="M177" t="inlineStr">
        <is>
          <t>Completed</t>
        </is>
      </c>
      <c r="N177" t="inlineStr">
        <is>
          <t>Walk-in</t>
        </is>
      </c>
    </row>
    <row r="178">
      <c r="A178" t="inlineStr">
        <is>
          <t>ORD00177</t>
        </is>
      </c>
      <c r="B178" s="13" t="n">
        <v>46260</v>
      </c>
      <c r="C178" t="inlineStr">
        <is>
          <t>C022</t>
        </is>
      </c>
      <c r="D178" t="inlineStr">
        <is>
          <t>P010</t>
        </is>
      </c>
      <c r="E178" t="n">
        <v>2</v>
      </c>
      <c r="F178" s="14" t="n">
        <v>4495</v>
      </c>
      <c r="G178" s="14" t="n">
        <v>2600</v>
      </c>
      <c r="H178" s="11" t="n">
        <v>0.03</v>
      </c>
      <c r="I178" s="14" t="n">
        <v>8720.299999999999</v>
      </c>
      <c r="J178" s="14" t="n">
        <v>5200</v>
      </c>
      <c r="K178" s="14" t="n">
        <v>3520.299999999999</v>
      </c>
      <c r="L178" t="inlineStr">
        <is>
          <t>Card</t>
        </is>
      </c>
      <c r="M178" t="inlineStr">
        <is>
          <t>Completed</t>
        </is>
      </c>
      <c r="N178" t="inlineStr">
        <is>
          <t>TikTok</t>
        </is>
      </c>
    </row>
    <row r="179">
      <c r="A179" t="inlineStr">
        <is>
          <t>ORD00178</t>
        </is>
      </c>
      <c r="B179" s="13" t="n">
        <v>46100</v>
      </c>
      <c r="C179" t="inlineStr">
        <is>
          <t>C021</t>
        </is>
      </c>
      <c r="D179" t="inlineStr">
        <is>
          <t>P008</t>
        </is>
      </c>
      <c r="E179" t="n">
        <v>1</v>
      </c>
      <c r="F179" s="14" t="n">
        <v>4595</v>
      </c>
      <c r="G179" s="14" t="n">
        <v>2800</v>
      </c>
      <c r="H179" s="11" t="n">
        <v>0.03</v>
      </c>
      <c r="I179" s="14" t="n">
        <v>4457.15</v>
      </c>
      <c r="J179" s="14" t="n">
        <v>2800</v>
      </c>
      <c r="K179" s="14" t="n">
        <v>1657.15</v>
      </c>
      <c r="L179" t="inlineStr">
        <is>
          <t>Card</t>
        </is>
      </c>
      <c r="M179" t="inlineStr">
        <is>
          <t>Completed</t>
        </is>
      </c>
      <c r="N179" t="inlineStr">
        <is>
          <t>Website</t>
        </is>
      </c>
    </row>
    <row r="180">
      <c r="A180" t="inlineStr">
        <is>
          <t>ORD00179</t>
        </is>
      </c>
      <c r="B180" s="13" t="n">
        <v>46203</v>
      </c>
      <c r="C180" t="inlineStr">
        <is>
          <t>C015</t>
        </is>
      </c>
      <c r="D180" t="inlineStr">
        <is>
          <t>P009</t>
        </is>
      </c>
      <c r="E180" t="n">
        <v>1</v>
      </c>
      <c r="F180" s="14" t="n">
        <v>5795</v>
      </c>
      <c r="G180" s="14" t="n">
        <v>3600</v>
      </c>
      <c r="H180" s="11" t="n">
        <v>0.03</v>
      </c>
      <c r="I180" s="14" t="n">
        <v>5621.15</v>
      </c>
      <c r="J180" s="14" t="n">
        <v>3600</v>
      </c>
      <c r="K180" s="14" t="n">
        <v>2021.15</v>
      </c>
      <c r="L180" t="inlineStr">
        <is>
          <t>GCash</t>
        </is>
      </c>
      <c r="M180" t="inlineStr">
        <is>
          <t>Completed</t>
        </is>
      </c>
      <c r="N180" t="inlineStr">
        <is>
          <t>TikTok</t>
        </is>
      </c>
    </row>
    <row r="181">
      <c r="A181" t="inlineStr">
        <is>
          <t>ORD00180</t>
        </is>
      </c>
      <c r="B181" s="13" t="n">
        <v>46062</v>
      </c>
      <c r="C181" t="inlineStr">
        <is>
          <t>C020</t>
        </is>
      </c>
      <c r="D181" t="inlineStr">
        <is>
          <t>P011</t>
        </is>
      </c>
      <c r="E181" t="n">
        <v>2</v>
      </c>
      <c r="F181" s="14" t="n">
        <v>1495</v>
      </c>
      <c r="G181" s="14" t="n">
        <v>850</v>
      </c>
      <c r="H181" s="11" t="n">
        <v>0</v>
      </c>
      <c r="I181" s="14" t="n">
        <v>2990</v>
      </c>
      <c r="J181" s="14" t="n">
        <v>1700</v>
      </c>
      <c r="K181" s="14" t="n">
        <v>1290</v>
      </c>
      <c r="L181" t="inlineStr">
        <is>
          <t>Maya</t>
        </is>
      </c>
      <c r="M181" t="inlineStr">
        <is>
          <t>Completed</t>
        </is>
      </c>
      <c r="N181" t="inlineStr">
        <is>
          <t>Website</t>
        </is>
      </c>
    </row>
    <row r="182">
      <c r="A182" t="inlineStr">
        <is>
          <t>ORD00181</t>
        </is>
      </c>
      <c r="B182" s="13" t="n">
        <v>46253</v>
      </c>
      <c r="C182" t="inlineStr">
        <is>
          <t>C020</t>
        </is>
      </c>
      <c r="D182" t="inlineStr">
        <is>
          <t>P010</t>
        </is>
      </c>
      <c r="E182" t="n">
        <v>2</v>
      </c>
      <c r="F182" s="14" t="n">
        <v>4495</v>
      </c>
      <c r="G182" s="14" t="n">
        <v>2600</v>
      </c>
      <c r="H182" s="11" t="n">
        <v>0</v>
      </c>
      <c r="I182" s="14" t="n">
        <v>8990</v>
      </c>
      <c r="J182" s="14" t="n">
        <v>5200</v>
      </c>
      <c r="K182" s="14" t="n">
        <v>3790</v>
      </c>
      <c r="L182" t="inlineStr">
        <is>
          <t>Maya</t>
        </is>
      </c>
      <c r="M182" t="inlineStr">
        <is>
          <t>Completed</t>
        </is>
      </c>
      <c r="N182" t="inlineStr">
        <is>
          <t>Website</t>
        </is>
      </c>
    </row>
    <row r="183">
      <c r="A183" t="inlineStr">
        <is>
          <t>ORD00182</t>
        </is>
      </c>
      <c r="B183" s="13" t="n">
        <v>46253</v>
      </c>
      <c r="C183" t="inlineStr">
        <is>
          <t>C023</t>
        </is>
      </c>
      <c r="D183" t="inlineStr">
        <is>
          <t>P002</t>
        </is>
      </c>
      <c r="E183" t="n">
        <v>2</v>
      </c>
      <c r="F183" s="14" t="n">
        <v>5495</v>
      </c>
      <c r="G183" s="14" t="n">
        <v>3500</v>
      </c>
      <c r="H183" s="11" t="n">
        <v>0</v>
      </c>
      <c r="I183" s="14" t="n">
        <v>10990</v>
      </c>
      <c r="J183" s="14" t="n">
        <v>7000</v>
      </c>
      <c r="K183" s="14" t="n">
        <v>3990</v>
      </c>
      <c r="L183" t="inlineStr">
        <is>
          <t>GCash</t>
        </is>
      </c>
      <c r="M183" t="inlineStr">
        <is>
          <t>Completed</t>
        </is>
      </c>
      <c r="N183" t="inlineStr">
        <is>
          <t>Facebook</t>
        </is>
      </c>
    </row>
    <row r="184">
      <c r="A184" t="inlineStr">
        <is>
          <t>ORD00183</t>
        </is>
      </c>
      <c r="B184" s="13" t="n">
        <v>46043</v>
      </c>
      <c r="C184" t="inlineStr">
        <is>
          <t>C017</t>
        </is>
      </c>
      <c r="D184" t="inlineStr">
        <is>
          <t>P004</t>
        </is>
      </c>
      <c r="E184" t="n">
        <v>2</v>
      </c>
      <c r="F184" s="14" t="n">
        <v>3995</v>
      </c>
      <c r="G184" s="14" t="n">
        <v>2200</v>
      </c>
      <c r="H184" s="11" t="n">
        <v>0.03</v>
      </c>
      <c r="I184" s="14" t="n">
        <v>7750.3</v>
      </c>
      <c r="J184" s="14" t="n">
        <v>4400</v>
      </c>
      <c r="K184" s="14" t="n">
        <v>3350.3</v>
      </c>
      <c r="L184" t="inlineStr">
        <is>
          <t>Cash</t>
        </is>
      </c>
      <c r="M184" t="inlineStr">
        <is>
          <t>Completed</t>
        </is>
      </c>
      <c r="N184" t="inlineStr">
        <is>
          <t>TikTok</t>
        </is>
      </c>
    </row>
    <row r="185">
      <c r="A185" t="inlineStr">
        <is>
          <t>ORD00184</t>
        </is>
      </c>
      <c r="B185" s="13" t="n">
        <v>46221</v>
      </c>
      <c r="C185" t="inlineStr">
        <is>
          <t>C020</t>
        </is>
      </c>
      <c r="D185" t="inlineStr">
        <is>
          <t>P007</t>
        </is>
      </c>
      <c r="E185" t="n">
        <v>2</v>
      </c>
      <c r="F185" s="14" t="n">
        <v>5295</v>
      </c>
      <c r="G185" s="14" t="n">
        <v>3300</v>
      </c>
      <c r="H185" s="11" t="n">
        <v>0.1</v>
      </c>
      <c r="I185" s="14" t="n">
        <v>9531</v>
      </c>
      <c r="J185" s="14" t="n">
        <v>6600</v>
      </c>
      <c r="K185" s="14" t="n">
        <v>2931</v>
      </c>
      <c r="L185" t="inlineStr">
        <is>
          <t>GCash</t>
        </is>
      </c>
      <c r="M185" t="inlineStr">
        <is>
          <t>Completed</t>
        </is>
      </c>
      <c r="N185" t="inlineStr">
        <is>
          <t>TikTok</t>
        </is>
      </c>
    </row>
    <row r="186">
      <c r="A186" t="inlineStr">
        <is>
          <t>ORD00185</t>
        </is>
      </c>
      <c r="B186" s="13" t="n">
        <v>46056</v>
      </c>
      <c r="C186" t="inlineStr">
        <is>
          <t>C013</t>
        </is>
      </c>
      <c r="D186" t="inlineStr">
        <is>
          <t>P006</t>
        </is>
      </c>
      <c r="E186" t="n">
        <v>1</v>
      </c>
      <c r="F186" s="14" t="n">
        <v>6295</v>
      </c>
      <c r="G186" s="14" t="n">
        <v>3900</v>
      </c>
      <c r="H186" s="11" t="n">
        <v>0.1</v>
      </c>
      <c r="I186" s="14" t="n">
        <v>5665.5</v>
      </c>
      <c r="J186" s="14" t="n">
        <v>3900</v>
      </c>
      <c r="K186" s="14" t="n">
        <v>1765.5</v>
      </c>
      <c r="L186" t="inlineStr">
        <is>
          <t>Card</t>
        </is>
      </c>
      <c r="M186" t="inlineStr">
        <is>
          <t>Completed</t>
        </is>
      </c>
      <c r="N186" t="inlineStr">
        <is>
          <t>Facebook</t>
        </is>
      </c>
    </row>
    <row r="187">
      <c r="A187" t="inlineStr">
        <is>
          <t>ORD00186</t>
        </is>
      </c>
      <c r="B187" s="13" t="n">
        <v>46193</v>
      </c>
      <c r="C187" t="inlineStr">
        <is>
          <t>C030</t>
        </is>
      </c>
      <c r="D187" t="inlineStr">
        <is>
          <t>P002</t>
        </is>
      </c>
      <c r="E187" t="n">
        <v>1</v>
      </c>
      <c r="F187" s="14" t="n">
        <v>5495</v>
      </c>
      <c r="G187" s="14" t="n">
        <v>3500</v>
      </c>
      <c r="H187" s="11" t="n">
        <v>0</v>
      </c>
      <c r="I187" s="14" t="n">
        <v>5495</v>
      </c>
      <c r="J187" s="14" t="n">
        <v>3500</v>
      </c>
      <c r="K187" s="14" t="n">
        <v>1995</v>
      </c>
      <c r="L187" t="inlineStr">
        <is>
          <t>Card</t>
        </is>
      </c>
      <c r="M187" t="inlineStr">
        <is>
          <t>Completed</t>
        </is>
      </c>
      <c r="N187" t="inlineStr">
        <is>
          <t>Walk-in</t>
        </is>
      </c>
    </row>
    <row r="188">
      <c r="A188" t="inlineStr">
        <is>
          <t>ORD00187</t>
        </is>
      </c>
      <c r="B188" s="13" t="n">
        <v>46089</v>
      </c>
      <c r="C188" t="inlineStr">
        <is>
          <t>C010</t>
        </is>
      </c>
      <c r="D188" t="inlineStr">
        <is>
          <t>P010</t>
        </is>
      </c>
      <c r="E188" t="n">
        <v>2</v>
      </c>
      <c r="F188" s="14" t="n">
        <v>4495</v>
      </c>
      <c r="G188" s="14" t="n">
        <v>2600</v>
      </c>
      <c r="H188" s="11" t="n">
        <v>0</v>
      </c>
      <c r="I188" s="14" t="n">
        <v>8990</v>
      </c>
      <c r="J188" s="14" t="n">
        <v>5200</v>
      </c>
      <c r="K188" s="14" t="n">
        <v>3790</v>
      </c>
      <c r="L188" t="inlineStr">
        <is>
          <t>Maya</t>
        </is>
      </c>
      <c r="M188" t="inlineStr">
        <is>
          <t>Completed</t>
        </is>
      </c>
      <c r="N188" t="inlineStr">
        <is>
          <t>TikTok</t>
        </is>
      </c>
    </row>
    <row r="189">
      <c r="A189" t="inlineStr">
        <is>
          <t>ORD00188</t>
        </is>
      </c>
      <c r="B189" s="13" t="n">
        <v>46088</v>
      </c>
      <c r="C189" t="inlineStr">
        <is>
          <t>C022</t>
        </is>
      </c>
      <c r="D189" t="inlineStr">
        <is>
          <t>P011</t>
        </is>
      </c>
      <c r="E189" t="n">
        <v>2</v>
      </c>
      <c r="F189" s="14" t="n">
        <v>1495</v>
      </c>
      <c r="G189" s="14" t="n">
        <v>850</v>
      </c>
      <c r="H189" s="11" t="n">
        <v>0.1</v>
      </c>
      <c r="I189" s="14" t="n">
        <v>2691</v>
      </c>
      <c r="J189" s="14" t="n">
        <v>1700</v>
      </c>
      <c r="K189" s="14" t="n">
        <v>991</v>
      </c>
      <c r="L189" t="inlineStr">
        <is>
          <t>GCash</t>
        </is>
      </c>
      <c r="M189" t="inlineStr">
        <is>
          <t>Completed</t>
        </is>
      </c>
      <c r="N189" t="inlineStr">
        <is>
          <t>Walk-in</t>
        </is>
      </c>
    </row>
    <row r="190">
      <c r="A190" t="inlineStr">
        <is>
          <t>ORD00189</t>
        </is>
      </c>
      <c r="B190" s="13" t="n">
        <v>46283</v>
      </c>
      <c r="C190" t="inlineStr">
        <is>
          <t>C006</t>
        </is>
      </c>
      <c r="D190" t="inlineStr">
        <is>
          <t>P006</t>
        </is>
      </c>
      <c r="E190" t="n">
        <v>1</v>
      </c>
      <c r="F190" s="14" t="n">
        <v>6295</v>
      </c>
      <c r="G190" s="14" t="n">
        <v>3900</v>
      </c>
      <c r="H190" s="11" t="n">
        <v>0</v>
      </c>
      <c r="I190" s="14" t="n">
        <v>6295</v>
      </c>
      <c r="J190" s="14" t="n">
        <v>3900</v>
      </c>
      <c r="K190" s="14" t="n">
        <v>2395</v>
      </c>
      <c r="L190" t="inlineStr">
        <is>
          <t>Cash</t>
        </is>
      </c>
      <c r="M190" t="inlineStr">
        <is>
          <t>Completed</t>
        </is>
      </c>
      <c r="N190" t="inlineStr">
        <is>
          <t>Walk-in</t>
        </is>
      </c>
    </row>
    <row r="191">
      <c r="A191" t="inlineStr">
        <is>
          <t>ORD00190</t>
        </is>
      </c>
      <c r="B191" s="13" t="n">
        <v>46121</v>
      </c>
      <c r="C191" t="inlineStr">
        <is>
          <t>C003</t>
        </is>
      </c>
      <c r="D191" t="inlineStr">
        <is>
          <t>P004</t>
        </is>
      </c>
      <c r="E191" t="n">
        <v>4</v>
      </c>
      <c r="F191" s="14" t="n">
        <v>3995</v>
      </c>
      <c r="G191" s="14" t="n">
        <v>2200</v>
      </c>
      <c r="H191" s="11" t="n">
        <v>0</v>
      </c>
      <c r="I191" s="14" t="n">
        <v>15980</v>
      </c>
      <c r="J191" s="14" t="n">
        <v>8800</v>
      </c>
      <c r="K191" s="14" t="n">
        <v>7180</v>
      </c>
      <c r="L191" t="inlineStr">
        <is>
          <t>Card</t>
        </is>
      </c>
      <c r="M191" t="inlineStr">
        <is>
          <t>Completed</t>
        </is>
      </c>
      <c r="N191" t="inlineStr">
        <is>
          <t>Website</t>
        </is>
      </c>
    </row>
    <row r="192">
      <c r="A192" t="inlineStr">
        <is>
          <t>ORD00191</t>
        </is>
      </c>
      <c r="B192" s="13" t="n">
        <v>46282</v>
      </c>
      <c r="C192" t="inlineStr">
        <is>
          <t>C002</t>
        </is>
      </c>
      <c r="D192" t="inlineStr">
        <is>
          <t>P009</t>
        </is>
      </c>
      <c r="E192" t="n">
        <v>2</v>
      </c>
      <c r="F192" s="14" t="n">
        <v>5795</v>
      </c>
      <c r="G192" s="14" t="n">
        <v>3600</v>
      </c>
      <c r="H192" s="11" t="n">
        <v>0.05</v>
      </c>
      <c r="I192" s="14" t="n">
        <v>11010.5</v>
      </c>
      <c r="J192" s="14" t="n">
        <v>7200</v>
      </c>
      <c r="K192" s="14" t="n">
        <v>3810.5</v>
      </c>
      <c r="L192" t="inlineStr">
        <is>
          <t>Card</t>
        </is>
      </c>
      <c r="M192" t="inlineStr">
        <is>
          <t>Completed</t>
        </is>
      </c>
      <c r="N192" t="inlineStr">
        <is>
          <t>Facebook</t>
        </is>
      </c>
    </row>
    <row r="193">
      <c r="A193" t="inlineStr">
        <is>
          <t>ORD00192</t>
        </is>
      </c>
      <c r="B193" s="13" t="n">
        <v>46215</v>
      </c>
      <c r="C193" t="inlineStr">
        <is>
          <t>C025</t>
        </is>
      </c>
      <c r="D193" t="inlineStr">
        <is>
          <t>P003</t>
        </is>
      </c>
      <c r="E193" t="n">
        <v>1</v>
      </c>
      <c r="F193" s="14" t="n">
        <v>5995</v>
      </c>
      <c r="G193" s="14" t="n">
        <v>3800</v>
      </c>
      <c r="H193" s="11" t="n">
        <v>0.1</v>
      </c>
      <c r="I193" s="14" t="n">
        <v>5395.5</v>
      </c>
      <c r="J193" s="14" t="n">
        <v>3800</v>
      </c>
      <c r="K193" s="14" t="n">
        <v>1595.5</v>
      </c>
      <c r="L193" t="inlineStr">
        <is>
          <t>Cash</t>
        </is>
      </c>
      <c r="M193" t="inlineStr">
        <is>
          <t>Completed</t>
        </is>
      </c>
      <c r="N193" t="inlineStr">
        <is>
          <t>Website</t>
        </is>
      </c>
    </row>
    <row r="194">
      <c r="A194" t="inlineStr">
        <is>
          <t>ORD00193</t>
        </is>
      </c>
      <c r="B194" s="13" t="n">
        <v>46233</v>
      </c>
      <c r="C194" t="inlineStr">
        <is>
          <t>C015</t>
        </is>
      </c>
      <c r="D194" t="inlineStr">
        <is>
          <t>P006</t>
        </is>
      </c>
      <c r="E194" t="n">
        <v>2</v>
      </c>
      <c r="F194" s="14" t="n">
        <v>6295</v>
      </c>
      <c r="G194" s="14" t="n">
        <v>3900</v>
      </c>
      <c r="H194" s="11" t="n">
        <v>0</v>
      </c>
      <c r="I194" s="14" t="n">
        <v>12590</v>
      </c>
      <c r="J194" s="14" t="n">
        <v>7800</v>
      </c>
      <c r="K194" s="14" t="n">
        <v>4790</v>
      </c>
      <c r="L194" t="inlineStr">
        <is>
          <t>Card</t>
        </is>
      </c>
      <c r="M194" t="inlineStr">
        <is>
          <t>Completed</t>
        </is>
      </c>
      <c r="N194" t="inlineStr">
        <is>
          <t>Walk-in</t>
        </is>
      </c>
    </row>
    <row r="195">
      <c r="A195" t="inlineStr">
        <is>
          <t>ORD00194</t>
        </is>
      </c>
      <c r="B195" s="13" t="n">
        <v>46142</v>
      </c>
      <c r="C195" t="inlineStr">
        <is>
          <t>C029</t>
        </is>
      </c>
      <c r="D195" t="inlineStr">
        <is>
          <t>P009</t>
        </is>
      </c>
      <c r="E195" t="n">
        <v>1</v>
      </c>
      <c r="F195" s="14" t="n">
        <v>5795</v>
      </c>
      <c r="G195" s="14" t="n">
        <v>3600</v>
      </c>
      <c r="H195" s="11" t="n">
        <v>0.03</v>
      </c>
      <c r="I195" s="14" t="n">
        <v>5621.15</v>
      </c>
      <c r="J195" s="14" t="n">
        <v>3600</v>
      </c>
      <c r="K195" s="14" t="n">
        <v>2021.15</v>
      </c>
      <c r="L195" t="inlineStr">
        <is>
          <t>Cash</t>
        </is>
      </c>
      <c r="M195" t="inlineStr">
        <is>
          <t>Completed</t>
        </is>
      </c>
      <c r="N195" t="inlineStr">
        <is>
          <t>Walk-in</t>
        </is>
      </c>
    </row>
    <row r="196">
      <c r="A196" t="inlineStr">
        <is>
          <t>ORD00195</t>
        </is>
      </c>
      <c r="B196" s="13" t="n">
        <v>46259</v>
      </c>
      <c r="C196" t="inlineStr">
        <is>
          <t>C017</t>
        </is>
      </c>
      <c r="D196" t="inlineStr">
        <is>
          <t>P005</t>
        </is>
      </c>
      <c r="E196" t="n">
        <v>2</v>
      </c>
      <c r="F196" s="14" t="n">
        <v>3695</v>
      </c>
      <c r="G196" s="14" t="n">
        <v>2100</v>
      </c>
      <c r="H196" s="11" t="n">
        <v>0.05</v>
      </c>
      <c r="I196" s="14" t="n">
        <v>7020.5</v>
      </c>
      <c r="J196" s="14" t="n">
        <v>4200</v>
      </c>
      <c r="K196" s="14" t="n">
        <v>2820.5</v>
      </c>
      <c r="L196" t="inlineStr">
        <is>
          <t>Maya</t>
        </is>
      </c>
      <c r="M196" t="inlineStr">
        <is>
          <t>Completed</t>
        </is>
      </c>
      <c r="N196" t="inlineStr">
        <is>
          <t>Facebook</t>
        </is>
      </c>
    </row>
    <row r="197">
      <c r="A197" t="inlineStr">
        <is>
          <t>ORD00196</t>
        </is>
      </c>
      <c r="B197" s="13" t="n">
        <v>46093</v>
      </c>
      <c r="C197" t="inlineStr">
        <is>
          <t>C028</t>
        </is>
      </c>
      <c r="D197" t="inlineStr">
        <is>
          <t>P005</t>
        </is>
      </c>
      <c r="E197" t="n">
        <v>1</v>
      </c>
      <c r="F197" s="14" t="n">
        <v>3695</v>
      </c>
      <c r="G197" s="14" t="n">
        <v>2100</v>
      </c>
      <c r="H197" s="11" t="n">
        <v>0.03</v>
      </c>
      <c r="I197" s="14" t="n">
        <v>3584.15</v>
      </c>
      <c r="J197" s="14" t="n">
        <v>2100</v>
      </c>
      <c r="K197" s="14" t="n">
        <v>1484.15</v>
      </c>
      <c r="L197" t="inlineStr">
        <is>
          <t>Card</t>
        </is>
      </c>
      <c r="M197" t="inlineStr">
        <is>
          <t>Completed</t>
        </is>
      </c>
      <c r="N197" t="inlineStr">
        <is>
          <t>Website</t>
        </is>
      </c>
    </row>
    <row r="198">
      <c r="A198" t="inlineStr">
        <is>
          <t>ORD00197</t>
        </is>
      </c>
      <c r="B198" s="13" t="n">
        <v>46287</v>
      </c>
      <c r="C198" t="inlineStr">
        <is>
          <t>C009</t>
        </is>
      </c>
      <c r="D198" t="inlineStr">
        <is>
          <t>P002</t>
        </is>
      </c>
      <c r="E198" t="n">
        <v>1</v>
      </c>
      <c r="F198" s="14" t="n">
        <v>5495</v>
      </c>
      <c r="G198" s="14" t="n">
        <v>3500</v>
      </c>
      <c r="H198" s="11" t="n">
        <v>0</v>
      </c>
      <c r="I198" s="14" t="n">
        <v>5495</v>
      </c>
      <c r="J198" s="14" t="n">
        <v>3500</v>
      </c>
      <c r="K198" s="14" t="n">
        <v>1995</v>
      </c>
      <c r="L198" t="inlineStr">
        <is>
          <t>Maya</t>
        </is>
      </c>
      <c r="M198" t="inlineStr">
        <is>
          <t>Completed</t>
        </is>
      </c>
      <c r="N198" t="inlineStr">
        <is>
          <t>Facebook</t>
        </is>
      </c>
    </row>
    <row r="199">
      <c r="A199" t="inlineStr">
        <is>
          <t>ORD00198</t>
        </is>
      </c>
      <c r="B199" s="13" t="n">
        <v>46246</v>
      </c>
      <c r="C199" t="inlineStr">
        <is>
          <t>C027</t>
        </is>
      </c>
      <c r="D199" t="inlineStr">
        <is>
          <t>P002</t>
        </is>
      </c>
      <c r="E199" t="n">
        <v>3</v>
      </c>
      <c r="F199" s="14" t="n">
        <v>5495</v>
      </c>
      <c r="G199" s="14" t="n">
        <v>3500</v>
      </c>
      <c r="H199" s="11" t="n">
        <v>0</v>
      </c>
      <c r="I199" s="14" t="n">
        <v>16485</v>
      </c>
      <c r="J199" s="14" t="n">
        <v>10500</v>
      </c>
      <c r="K199" s="14" t="n">
        <v>5985</v>
      </c>
      <c r="L199" t="inlineStr">
        <is>
          <t>Maya</t>
        </is>
      </c>
      <c r="M199" t="inlineStr">
        <is>
          <t>Completed</t>
        </is>
      </c>
      <c r="N199" t="inlineStr">
        <is>
          <t>Website</t>
        </is>
      </c>
    </row>
    <row r="200">
      <c r="A200" t="inlineStr">
        <is>
          <t>ORD00199</t>
        </is>
      </c>
      <c r="B200" s="13" t="n">
        <v>46235</v>
      </c>
      <c r="C200" t="inlineStr">
        <is>
          <t>C008</t>
        </is>
      </c>
      <c r="D200" t="inlineStr">
        <is>
          <t>P001</t>
        </is>
      </c>
      <c r="E200" t="n">
        <v>1</v>
      </c>
      <c r="F200" s="14" t="n">
        <v>4995</v>
      </c>
      <c r="G200" s="14" t="n">
        <v>3200</v>
      </c>
      <c r="H200" s="11" t="n">
        <v>0</v>
      </c>
      <c r="I200" s="14" t="n">
        <v>0</v>
      </c>
      <c r="J200" s="14" t="n">
        <v>0</v>
      </c>
      <c r="K200" s="14" t="n">
        <v>0</v>
      </c>
      <c r="L200" t="inlineStr">
        <is>
          <t>Maya</t>
        </is>
      </c>
      <c r="M200" t="inlineStr">
        <is>
          <t>Cancelled</t>
        </is>
      </c>
      <c r="N200" t="inlineStr">
        <is>
          <t>TikTok</t>
        </is>
      </c>
    </row>
    <row r="201">
      <c r="A201" t="inlineStr">
        <is>
          <t>ORD00200</t>
        </is>
      </c>
      <c r="B201" s="13" t="n">
        <v>46137</v>
      </c>
      <c r="C201" t="inlineStr">
        <is>
          <t>C027</t>
        </is>
      </c>
      <c r="D201" t="inlineStr">
        <is>
          <t>P001</t>
        </is>
      </c>
      <c r="E201" t="n">
        <v>1</v>
      </c>
      <c r="F201" s="14" t="n">
        <v>4995</v>
      </c>
      <c r="G201" s="14" t="n">
        <v>3200</v>
      </c>
      <c r="H201" s="11" t="n">
        <v>0</v>
      </c>
      <c r="I201" s="14" t="n">
        <v>4995</v>
      </c>
      <c r="J201" s="14" t="n">
        <v>3200</v>
      </c>
      <c r="K201" s="14" t="n">
        <v>1795</v>
      </c>
      <c r="L201" t="inlineStr">
        <is>
          <t>Card</t>
        </is>
      </c>
      <c r="M201" t="inlineStr">
        <is>
          <t>Completed</t>
        </is>
      </c>
      <c r="N201" t="inlineStr">
        <is>
          <t>Facebook</t>
        </is>
      </c>
    </row>
    <row r="202">
      <c r="A202" t="inlineStr">
        <is>
          <t>ORD00201</t>
        </is>
      </c>
      <c r="B202" s="13" t="n">
        <v>46042</v>
      </c>
      <c r="C202" t="inlineStr">
        <is>
          <t>C023</t>
        </is>
      </c>
      <c r="D202" t="inlineStr">
        <is>
          <t>P005</t>
        </is>
      </c>
      <c r="E202" t="n">
        <v>3</v>
      </c>
      <c r="F202" s="14" t="n">
        <v>3695</v>
      </c>
      <c r="G202" s="14" t="n">
        <v>2100</v>
      </c>
      <c r="H202" s="11" t="n">
        <v>0.03</v>
      </c>
      <c r="I202" s="14" t="n">
        <v>10752.45</v>
      </c>
      <c r="J202" s="14" t="n">
        <v>6300</v>
      </c>
      <c r="K202" s="14" t="n">
        <v>4452.449999999999</v>
      </c>
      <c r="L202" t="inlineStr">
        <is>
          <t>Cash</t>
        </is>
      </c>
      <c r="M202" t="inlineStr">
        <is>
          <t>Completed</t>
        </is>
      </c>
      <c r="N202" t="inlineStr">
        <is>
          <t>Walk-in</t>
        </is>
      </c>
    </row>
    <row r="203">
      <c r="A203" t="inlineStr">
        <is>
          <t>ORD00202</t>
        </is>
      </c>
      <c r="B203" s="13" t="n">
        <v>46252</v>
      </c>
      <c r="C203" t="inlineStr">
        <is>
          <t>C001</t>
        </is>
      </c>
      <c r="D203" t="inlineStr">
        <is>
          <t>P010</t>
        </is>
      </c>
      <c r="E203" t="n">
        <v>1</v>
      </c>
      <c r="F203" s="14" t="n">
        <v>4495</v>
      </c>
      <c r="G203" s="14" t="n">
        <v>2600</v>
      </c>
      <c r="H203" s="11" t="n">
        <v>0</v>
      </c>
      <c r="I203" s="14" t="n">
        <v>4495</v>
      </c>
      <c r="J203" s="14" t="n">
        <v>2600</v>
      </c>
      <c r="K203" s="14" t="n">
        <v>1895</v>
      </c>
      <c r="L203" t="inlineStr">
        <is>
          <t>Card</t>
        </is>
      </c>
      <c r="M203" t="inlineStr">
        <is>
          <t>Completed</t>
        </is>
      </c>
      <c r="N203" t="inlineStr">
        <is>
          <t>Facebook</t>
        </is>
      </c>
    </row>
    <row r="204">
      <c r="A204" t="inlineStr">
        <is>
          <t>ORD00203</t>
        </is>
      </c>
      <c r="B204" s="13" t="n">
        <v>46303</v>
      </c>
      <c r="C204" t="inlineStr">
        <is>
          <t>C004</t>
        </is>
      </c>
      <c r="D204" t="inlineStr">
        <is>
          <t>P012</t>
        </is>
      </c>
      <c r="E204" t="n">
        <v>2</v>
      </c>
      <c r="F204" s="14" t="n">
        <v>1595</v>
      </c>
      <c r="G204" s="14" t="n">
        <v>900</v>
      </c>
      <c r="H204" s="11" t="n">
        <v>0.03</v>
      </c>
      <c r="I204" s="14" t="n">
        <v>3094.3</v>
      </c>
      <c r="J204" s="14" t="n">
        <v>1800</v>
      </c>
      <c r="K204" s="14" t="n">
        <v>1294.3</v>
      </c>
      <c r="L204" t="inlineStr">
        <is>
          <t>Card</t>
        </is>
      </c>
      <c r="M204" t="inlineStr">
        <is>
          <t>Completed</t>
        </is>
      </c>
      <c r="N204" t="inlineStr">
        <is>
          <t>Website</t>
        </is>
      </c>
    </row>
    <row r="205">
      <c r="A205" t="inlineStr">
        <is>
          <t>ORD00204</t>
        </is>
      </c>
      <c r="B205" s="13" t="n">
        <v>46047</v>
      </c>
      <c r="C205" t="inlineStr">
        <is>
          <t>C015</t>
        </is>
      </c>
      <c r="D205" t="inlineStr">
        <is>
          <t>P004</t>
        </is>
      </c>
      <c r="E205" t="n">
        <v>1</v>
      </c>
      <c r="F205" s="14" t="n">
        <v>3995</v>
      </c>
      <c r="G205" s="14" t="n">
        <v>2200</v>
      </c>
      <c r="H205" s="11" t="n">
        <v>0.05</v>
      </c>
      <c r="I205" s="14" t="n">
        <v>3795.25</v>
      </c>
      <c r="J205" s="14" t="n">
        <v>2200</v>
      </c>
      <c r="K205" s="14" t="n">
        <v>1595.25</v>
      </c>
      <c r="L205" t="inlineStr">
        <is>
          <t>GCash</t>
        </is>
      </c>
      <c r="M205" t="inlineStr">
        <is>
          <t>Completed</t>
        </is>
      </c>
      <c r="N205" t="inlineStr">
        <is>
          <t>Walk-in</t>
        </is>
      </c>
    </row>
    <row r="206">
      <c r="A206" t="inlineStr">
        <is>
          <t>ORD00205</t>
        </is>
      </c>
      <c r="B206" s="13" t="n">
        <v>46297</v>
      </c>
      <c r="C206" t="inlineStr">
        <is>
          <t>C008</t>
        </is>
      </c>
      <c r="D206" t="inlineStr">
        <is>
          <t>P001</t>
        </is>
      </c>
      <c r="E206" t="n">
        <v>2</v>
      </c>
      <c r="F206" s="14" t="n">
        <v>4995</v>
      </c>
      <c r="G206" s="14" t="n">
        <v>3200</v>
      </c>
      <c r="H206" s="11" t="n">
        <v>0.05</v>
      </c>
      <c r="I206" s="14" t="n">
        <v>9490.5</v>
      </c>
      <c r="J206" s="14" t="n">
        <v>6400</v>
      </c>
      <c r="K206" s="14" t="n">
        <v>3090.5</v>
      </c>
      <c r="L206" t="inlineStr">
        <is>
          <t>Cash</t>
        </is>
      </c>
      <c r="M206" t="inlineStr">
        <is>
          <t>Completed</t>
        </is>
      </c>
      <c r="N206" t="inlineStr">
        <is>
          <t>Website</t>
        </is>
      </c>
    </row>
    <row r="207">
      <c r="A207" t="inlineStr">
        <is>
          <t>ORD00206</t>
        </is>
      </c>
      <c r="B207" s="13" t="n">
        <v>46203</v>
      </c>
      <c r="C207" t="inlineStr">
        <is>
          <t>C022</t>
        </is>
      </c>
      <c r="D207" t="inlineStr">
        <is>
          <t>P004</t>
        </is>
      </c>
      <c r="E207" t="n">
        <v>1</v>
      </c>
      <c r="F207" s="14" t="n">
        <v>3995</v>
      </c>
      <c r="G207" s="14" t="n">
        <v>2200</v>
      </c>
      <c r="H207" s="11" t="n">
        <v>0</v>
      </c>
      <c r="I207" s="14" t="n">
        <v>3995</v>
      </c>
      <c r="J207" s="14" t="n">
        <v>2200</v>
      </c>
      <c r="K207" s="14" t="n">
        <v>1795</v>
      </c>
      <c r="L207" t="inlineStr">
        <is>
          <t>GCash</t>
        </is>
      </c>
      <c r="M207" t="inlineStr">
        <is>
          <t>Completed</t>
        </is>
      </c>
      <c r="N207" t="inlineStr">
        <is>
          <t>TikTok</t>
        </is>
      </c>
    </row>
    <row r="208">
      <c r="A208" t="inlineStr">
        <is>
          <t>ORD00207</t>
        </is>
      </c>
      <c r="B208" s="13" t="n">
        <v>46057</v>
      </c>
      <c r="C208" t="inlineStr">
        <is>
          <t>C018</t>
        </is>
      </c>
      <c r="D208" t="inlineStr">
        <is>
          <t>P009</t>
        </is>
      </c>
      <c r="E208" t="n">
        <v>1</v>
      </c>
      <c r="F208" s="14" t="n">
        <v>5795</v>
      </c>
      <c r="G208" s="14" t="n">
        <v>3600</v>
      </c>
      <c r="H208" s="11" t="n">
        <v>0.05</v>
      </c>
      <c r="I208" s="14" t="n">
        <v>5505.25</v>
      </c>
      <c r="J208" s="14" t="n">
        <v>3600</v>
      </c>
      <c r="K208" s="14" t="n">
        <v>1905.25</v>
      </c>
      <c r="L208" t="inlineStr">
        <is>
          <t>GCash</t>
        </is>
      </c>
      <c r="M208" t="inlineStr">
        <is>
          <t>Completed</t>
        </is>
      </c>
      <c r="N208" t="inlineStr">
        <is>
          <t>Walk-in</t>
        </is>
      </c>
    </row>
    <row r="209">
      <c r="A209" t="inlineStr">
        <is>
          <t>ORD00208</t>
        </is>
      </c>
      <c r="B209" s="13" t="n">
        <v>46045</v>
      </c>
      <c r="C209" t="inlineStr">
        <is>
          <t>C009</t>
        </is>
      </c>
      <c r="D209" t="inlineStr">
        <is>
          <t>P011</t>
        </is>
      </c>
      <c r="E209" t="n">
        <v>1</v>
      </c>
      <c r="F209" s="14" t="n">
        <v>1495</v>
      </c>
      <c r="G209" s="14" t="n">
        <v>850</v>
      </c>
      <c r="H209" s="11" t="n">
        <v>0</v>
      </c>
      <c r="I209" s="14" t="n">
        <v>1495</v>
      </c>
      <c r="J209" s="14" t="n">
        <v>850</v>
      </c>
      <c r="K209" s="14" t="n">
        <v>645</v>
      </c>
      <c r="L209" t="inlineStr">
        <is>
          <t>GCash</t>
        </is>
      </c>
      <c r="M209" t="inlineStr">
        <is>
          <t>Completed</t>
        </is>
      </c>
      <c r="N209" t="inlineStr">
        <is>
          <t>Website</t>
        </is>
      </c>
    </row>
    <row r="210">
      <c r="A210" t="inlineStr">
        <is>
          <t>ORD00209</t>
        </is>
      </c>
      <c r="B210" s="13" t="n">
        <v>46199</v>
      </c>
      <c r="C210" t="inlineStr">
        <is>
          <t>C004</t>
        </is>
      </c>
      <c r="D210" t="inlineStr">
        <is>
          <t>P004</t>
        </is>
      </c>
      <c r="E210" t="n">
        <v>2</v>
      </c>
      <c r="F210" s="14" t="n">
        <v>3995</v>
      </c>
      <c r="G210" s="14" t="n">
        <v>2200</v>
      </c>
      <c r="H210" s="11" t="n">
        <v>0.1</v>
      </c>
      <c r="I210" s="14" t="n">
        <v>7191</v>
      </c>
      <c r="J210" s="14" t="n">
        <v>4400</v>
      </c>
      <c r="K210" s="14" t="n">
        <v>2791</v>
      </c>
      <c r="L210" t="inlineStr">
        <is>
          <t>Card</t>
        </is>
      </c>
      <c r="M210" t="inlineStr">
        <is>
          <t>Completed</t>
        </is>
      </c>
      <c r="N210" t="inlineStr">
        <is>
          <t>TikTok</t>
        </is>
      </c>
    </row>
    <row r="211">
      <c r="A211" t="inlineStr">
        <is>
          <t>ORD00210</t>
        </is>
      </c>
      <c r="B211" s="13" t="n">
        <v>46302</v>
      </c>
      <c r="C211" t="inlineStr">
        <is>
          <t>C027</t>
        </is>
      </c>
      <c r="D211" t="inlineStr">
        <is>
          <t>P006</t>
        </is>
      </c>
      <c r="E211" t="n">
        <v>2</v>
      </c>
      <c r="F211" s="14" t="n">
        <v>6295</v>
      </c>
      <c r="G211" s="14" t="n">
        <v>3900</v>
      </c>
      <c r="H211" s="11" t="n">
        <v>0</v>
      </c>
      <c r="I211" s="14" t="n">
        <v>0</v>
      </c>
      <c r="J211" s="14" t="n">
        <v>0</v>
      </c>
      <c r="K211" s="14" t="n">
        <v>0</v>
      </c>
      <c r="L211" t="inlineStr">
        <is>
          <t>Maya</t>
        </is>
      </c>
      <c r="M211" t="inlineStr">
        <is>
          <t>Cancelled</t>
        </is>
      </c>
      <c r="N211" t="inlineStr">
        <is>
          <t>Walk-in</t>
        </is>
      </c>
    </row>
    <row r="212">
      <c r="A212" t="inlineStr">
        <is>
          <t>ORD00211</t>
        </is>
      </c>
      <c r="B212" s="13" t="n">
        <v>46116</v>
      </c>
      <c r="C212" t="inlineStr">
        <is>
          <t>C002</t>
        </is>
      </c>
      <c r="D212" t="inlineStr">
        <is>
          <t>P003</t>
        </is>
      </c>
      <c r="E212" t="n">
        <v>1</v>
      </c>
      <c r="F212" s="14" t="n">
        <v>5995</v>
      </c>
      <c r="G212" s="14" t="n">
        <v>3800</v>
      </c>
      <c r="H212" s="11" t="n">
        <v>0.03</v>
      </c>
      <c r="I212" s="14" t="n">
        <v>5815.15</v>
      </c>
      <c r="J212" s="14" t="n">
        <v>3800</v>
      </c>
      <c r="K212" s="14" t="n">
        <v>2015.15</v>
      </c>
      <c r="L212" t="inlineStr">
        <is>
          <t>Card</t>
        </is>
      </c>
      <c r="M212" t="inlineStr">
        <is>
          <t>Completed</t>
        </is>
      </c>
      <c r="N212" t="inlineStr">
        <is>
          <t>Facebook</t>
        </is>
      </c>
    </row>
    <row r="213">
      <c r="A213" t="inlineStr">
        <is>
          <t>ORD00212</t>
        </is>
      </c>
      <c r="B213" s="13" t="n">
        <v>46044</v>
      </c>
      <c r="C213" t="inlineStr">
        <is>
          <t>C013</t>
        </is>
      </c>
      <c r="D213" t="inlineStr">
        <is>
          <t>P006</t>
        </is>
      </c>
      <c r="E213" t="n">
        <v>3</v>
      </c>
      <c r="F213" s="14" t="n">
        <v>6295</v>
      </c>
      <c r="G213" s="14" t="n">
        <v>3900</v>
      </c>
      <c r="H213" s="11" t="n">
        <v>0.05</v>
      </c>
      <c r="I213" s="14" t="n">
        <v>17940.75</v>
      </c>
      <c r="J213" s="14" t="n">
        <v>11700</v>
      </c>
      <c r="K213" s="14" t="n">
        <v>6240.75</v>
      </c>
      <c r="L213" t="inlineStr">
        <is>
          <t>Maya</t>
        </is>
      </c>
      <c r="M213" t="inlineStr">
        <is>
          <t>Completed</t>
        </is>
      </c>
      <c r="N213" t="inlineStr">
        <is>
          <t>Facebook</t>
        </is>
      </c>
    </row>
    <row r="214">
      <c r="A214" t="inlineStr">
        <is>
          <t>ORD00213</t>
        </is>
      </c>
      <c r="B214" s="13" t="n">
        <v>46169</v>
      </c>
      <c r="C214" t="inlineStr">
        <is>
          <t>C028</t>
        </is>
      </c>
      <c r="D214" t="inlineStr">
        <is>
          <t>P006</t>
        </is>
      </c>
      <c r="E214" t="n">
        <v>2</v>
      </c>
      <c r="F214" s="14" t="n">
        <v>6295</v>
      </c>
      <c r="G214" s="14" t="n">
        <v>3900</v>
      </c>
      <c r="H214" s="11" t="n">
        <v>0</v>
      </c>
      <c r="I214" s="14" t="n">
        <v>12590</v>
      </c>
      <c r="J214" s="14" t="n">
        <v>7800</v>
      </c>
      <c r="K214" s="14" t="n">
        <v>4790</v>
      </c>
      <c r="L214" t="inlineStr">
        <is>
          <t>Card</t>
        </is>
      </c>
      <c r="M214" t="inlineStr">
        <is>
          <t>Completed</t>
        </is>
      </c>
      <c r="N214" t="inlineStr">
        <is>
          <t>TikTok</t>
        </is>
      </c>
    </row>
    <row r="215">
      <c r="A215" t="inlineStr">
        <is>
          <t>ORD00214</t>
        </is>
      </c>
      <c r="B215" s="13" t="n">
        <v>46246</v>
      </c>
      <c r="C215" t="inlineStr">
        <is>
          <t>C011</t>
        </is>
      </c>
      <c r="D215" t="inlineStr">
        <is>
          <t>P007</t>
        </is>
      </c>
      <c r="E215" t="n">
        <v>2</v>
      </c>
      <c r="F215" s="14" t="n">
        <v>5295</v>
      </c>
      <c r="G215" s="14" t="n">
        <v>3300</v>
      </c>
      <c r="H215" s="11" t="n">
        <v>0.03</v>
      </c>
      <c r="I215" s="14" t="n">
        <v>10272.3</v>
      </c>
      <c r="J215" s="14" t="n">
        <v>6600</v>
      </c>
      <c r="K215" s="14" t="n">
        <v>3672.299999999999</v>
      </c>
      <c r="L215" t="inlineStr">
        <is>
          <t>Cash</t>
        </is>
      </c>
      <c r="M215" t="inlineStr">
        <is>
          <t>Completed</t>
        </is>
      </c>
      <c r="N215" t="inlineStr">
        <is>
          <t>Walk-in</t>
        </is>
      </c>
    </row>
    <row r="216">
      <c r="A216" t="inlineStr">
        <is>
          <t>ORD00215</t>
        </is>
      </c>
      <c r="B216" s="13" t="n">
        <v>46211</v>
      </c>
      <c r="C216" t="inlineStr">
        <is>
          <t>C024</t>
        </is>
      </c>
      <c r="D216" t="inlineStr">
        <is>
          <t>P009</t>
        </is>
      </c>
      <c r="E216" t="n">
        <v>1</v>
      </c>
      <c r="F216" s="14" t="n">
        <v>5795</v>
      </c>
      <c r="G216" s="14" t="n">
        <v>3600</v>
      </c>
      <c r="H216" s="11" t="n">
        <v>0</v>
      </c>
      <c r="I216" s="14" t="n">
        <v>5795</v>
      </c>
      <c r="J216" s="14" t="n">
        <v>3600</v>
      </c>
      <c r="K216" s="14" t="n">
        <v>2195</v>
      </c>
      <c r="L216" t="inlineStr">
        <is>
          <t>Maya</t>
        </is>
      </c>
      <c r="M216" t="inlineStr">
        <is>
          <t>Completed</t>
        </is>
      </c>
      <c r="N216" t="inlineStr">
        <is>
          <t>Facebook</t>
        </is>
      </c>
    </row>
    <row r="217">
      <c r="A217" t="inlineStr">
        <is>
          <t>ORD00216</t>
        </is>
      </c>
      <c r="B217" s="13" t="n">
        <v>46302</v>
      </c>
      <c r="C217" t="inlineStr">
        <is>
          <t>C011</t>
        </is>
      </c>
      <c r="D217" t="inlineStr">
        <is>
          <t>P005</t>
        </is>
      </c>
      <c r="E217" t="n">
        <v>1</v>
      </c>
      <c r="F217" s="14" t="n">
        <v>3695</v>
      </c>
      <c r="G217" s="14" t="n">
        <v>2100</v>
      </c>
      <c r="H217" s="11" t="n">
        <v>0</v>
      </c>
      <c r="I217" s="14" t="n">
        <v>3695</v>
      </c>
      <c r="J217" s="14" t="n">
        <v>2100</v>
      </c>
      <c r="K217" s="14" t="n">
        <v>1595</v>
      </c>
      <c r="L217" t="inlineStr">
        <is>
          <t>Card</t>
        </is>
      </c>
      <c r="M217" t="inlineStr">
        <is>
          <t>Completed</t>
        </is>
      </c>
      <c r="N217" t="inlineStr">
        <is>
          <t>Walk-in</t>
        </is>
      </c>
    </row>
    <row r="218">
      <c r="A218" t="inlineStr">
        <is>
          <t>ORD00217</t>
        </is>
      </c>
      <c r="B218" s="13" t="n">
        <v>46108</v>
      </c>
      <c r="C218" t="inlineStr">
        <is>
          <t>C002</t>
        </is>
      </c>
      <c r="D218" t="inlineStr">
        <is>
          <t>P012</t>
        </is>
      </c>
      <c r="E218" t="n">
        <v>1</v>
      </c>
      <c r="F218" s="14" t="n">
        <v>1595</v>
      </c>
      <c r="G218" s="14" t="n">
        <v>900</v>
      </c>
      <c r="H218" s="11" t="n">
        <v>0.03</v>
      </c>
      <c r="I218" s="14" t="n">
        <v>1547.15</v>
      </c>
      <c r="J218" s="14" t="n">
        <v>900</v>
      </c>
      <c r="K218" s="14" t="n">
        <v>647.1499999999999</v>
      </c>
      <c r="L218" t="inlineStr">
        <is>
          <t>Card</t>
        </is>
      </c>
      <c r="M218" t="inlineStr">
        <is>
          <t>Completed</t>
        </is>
      </c>
      <c r="N218" t="inlineStr">
        <is>
          <t>Walk-in</t>
        </is>
      </c>
    </row>
    <row r="219">
      <c r="A219" t="inlineStr">
        <is>
          <t>ORD00218</t>
        </is>
      </c>
      <c r="B219" s="13" t="n">
        <v>46163</v>
      </c>
      <c r="C219" t="inlineStr">
        <is>
          <t>C003</t>
        </is>
      </c>
      <c r="D219" t="inlineStr">
        <is>
          <t>P011</t>
        </is>
      </c>
      <c r="E219" t="n">
        <v>4</v>
      </c>
      <c r="F219" s="14" t="n">
        <v>1495</v>
      </c>
      <c r="G219" s="14" t="n">
        <v>850</v>
      </c>
      <c r="H219" s="11" t="n">
        <v>0</v>
      </c>
      <c r="I219" s="14" t="n">
        <v>5980</v>
      </c>
      <c r="J219" s="14" t="n">
        <v>3400</v>
      </c>
      <c r="K219" s="14" t="n">
        <v>2580</v>
      </c>
      <c r="L219" t="inlineStr">
        <is>
          <t>Maya</t>
        </is>
      </c>
      <c r="M219" t="inlineStr">
        <is>
          <t>Completed</t>
        </is>
      </c>
      <c r="N219" t="inlineStr">
        <is>
          <t>Facebook</t>
        </is>
      </c>
    </row>
    <row r="220">
      <c r="A220" t="inlineStr">
        <is>
          <t>ORD00219</t>
        </is>
      </c>
      <c r="B220" s="13" t="n">
        <v>46038</v>
      </c>
      <c r="C220" t="inlineStr">
        <is>
          <t>C026</t>
        </is>
      </c>
      <c r="D220" t="inlineStr">
        <is>
          <t>P003</t>
        </is>
      </c>
      <c r="E220" t="n">
        <v>2</v>
      </c>
      <c r="F220" s="14" t="n">
        <v>5995</v>
      </c>
      <c r="G220" s="14" t="n">
        <v>3800</v>
      </c>
      <c r="H220" s="11" t="n">
        <v>0.1</v>
      </c>
      <c r="I220" s="14" t="n">
        <v>10791</v>
      </c>
      <c r="J220" s="14" t="n">
        <v>7600</v>
      </c>
      <c r="K220" s="14" t="n">
        <v>3191</v>
      </c>
      <c r="L220" t="inlineStr">
        <is>
          <t>Maya</t>
        </is>
      </c>
      <c r="M220" t="inlineStr">
        <is>
          <t>Completed</t>
        </is>
      </c>
      <c r="N220" t="inlineStr">
        <is>
          <t>Website</t>
        </is>
      </c>
    </row>
    <row r="221">
      <c r="A221" t="inlineStr">
        <is>
          <t>ORD00220</t>
        </is>
      </c>
      <c r="B221" s="13" t="n">
        <v>46143</v>
      </c>
      <c r="C221" t="inlineStr">
        <is>
          <t>C019</t>
        </is>
      </c>
      <c r="D221" t="inlineStr">
        <is>
          <t>P011</t>
        </is>
      </c>
      <c r="E221" t="n">
        <v>1</v>
      </c>
      <c r="F221" s="14" t="n">
        <v>1495</v>
      </c>
      <c r="G221" s="14" t="n">
        <v>850</v>
      </c>
      <c r="H221" s="11" t="n">
        <v>0.03</v>
      </c>
      <c r="I221" s="14" t="n">
        <v>1450.15</v>
      </c>
      <c r="J221" s="14" t="n">
        <v>850</v>
      </c>
      <c r="K221" s="14" t="n">
        <v>600.1499999999999</v>
      </c>
      <c r="L221" t="inlineStr">
        <is>
          <t>GCash</t>
        </is>
      </c>
      <c r="M221" t="inlineStr">
        <is>
          <t>Completed</t>
        </is>
      </c>
      <c r="N221" t="inlineStr">
        <is>
          <t>Walk-in</t>
        </is>
      </c>
    </row>
    <row r="222">
      <c r="A222" t="inlineStr">
        <is>
          <t>ORD00221</t>
        </is>
      </c>
      <c r="B222" s="13" t="n">
        <v>46212</v>
      </c>
      <c r="C222" t="inlineStr">
        <is>
          <t>C019</t>
        </is>
      </c>
      <c r="D222" t="inlineStr">
        <is>
          <t>P006</t>
        </is>
      </c>
      <c r="E222" t="n">
        <v>1</v>
      </c>
      <c r="F222" s="14" t="n">
        <v>6295</v>
      </c>
      <c r="G222" s="14" t="n">
        <v>3900</v>
      </c>
      <c r="H222" s="11" t="n">
        <v>0</v>
      </c>
      <c r="I222" s="14" t="n">
        <v>6295</v>
      </c>
      <c r="J222" s="14" t="n">
        <v>3900</v>
      </c>
      <c r="K222" s="14" t="n">
        <v>2395</v>
      </c>
      <c r="L222" t="inlineStr">
        <is>
          <t>Cash</t>
        </is>
      </c>
      <c r="M222" t="inlineStr">
        <is>
          <t>Completed</t>
        </is>
      </c>
      <c r="N222" t="inlineStr">
        <is>
          <t>Walk-in</t>
        </is>
      </c>
    </row>
    <row r="223">
      <c r="A223" t="inlineStr">
        <is>
          <t>ORD00222</t>
        </is>
      </c>
      <c r="B223" s="13" t="n">
        <v>46183</v>
      </c>
      <c r="C223" t="inlineStr">
        <is>
          <t>C001</t>
        </is>
      </c>
      <c r="D223" t="inlineStr">
        <is>
          <t>P011</t>
        </is>
      </c>
      <c r="E223" t="n">
        <v>1</v>
      </c>
      <c r="F223" s="14" t="n">
        <v>1495</v>
      </c>
      <c r="G223" s="14" t="n">
        <v>850</v>
      </c>
      <c r="H223" s="11" t="n">
        <v>0</v>
      </c>
      <c r="I223" s="14" t="n">
        <v>1495</v>
      </c>
      <c r="J223" s="14" t="n">
        <v>850</v>
      </c>
      <c r="K223" s="14" t="n">
        <v>645</v>
      </c>
      <c r="L223" t="inlineStr">
        <is>
          <t>Cash</t>
        </is>
      </c>
      <c r="M223" t="inlineStr">
        <is>
          <t>Completed</t>
        </is>
      </c>
      <c r="N223" t="inlineStr">
        <is>
          <t>Walk-in</t>
        </is>
      </c>
    </row>
    <row r="224">
      <c r="A224" t="inlineStr">
        <is>
          <t>ORD00223</t>
        </is>
      </c>
      <c r="B224" s="13" t="n">
        <v>46083</v>
      </c>
      <c r="C224" t="inlineStr">
        <is>
          <t>C015</t>
        </is>
      </c>
      <c r="D224" t="inlineStr">
        <is>
          <t>P005</t>
        </is>
      </c>
      <c r="E224" t="n">
        <v>2</v>
      </c>
      <c r="F224" s="14" t="n">
        <v>3695</v>
      </c>
      <c r="G224" s="14" t="n">
        <v>2100</v>
      </c>
      <c r="H224" s="11" t="n">
        <v>0.1</v>
      </c>
      <c r="I224" s="14" t="n">
        <v>0</v>
      </c>
      <c r="J224" s="14" t="n">
        <v>0</v>
      </c>
      <c r="K224" s="14" t="n">
        <v>0</v>
      </c>
      <c r="L224" t="inlineStr">
        <is>
          <t>Cash</t>
        </is>
      </c>
      <c r="M224" t="inlineStr">
        <is>
          <t>Cancelled</t>
        </is>
      </c>
      <c r="N224" t="inlineStr">
        <is>
          <t>TikTok</t>
        </is>
      </c>
    </row>
    <row r="225">
      <c r="A225" t="inlineStr">
        <is>
          <t>ORD00224</t>
        </is>
      </c>
      <c r="B225" s="13" t="n">
        <v>46274</v>
      </c>
      <c r="C225" t="inlineStr">
        <is>
          <t>C015</t>
        </is>
      </c>
      <c r="D225" t="inlineStr">
        <is>
          <t>P004</t>
        </is>
      </c>
      <c r="E225" t="n">
        <v>1</v>
      </c>
      <c r="F225" s="14" t="n">
        <v>3995</v>
      </c>
      <c r="G225" s="14" t="n">
        <v>2200</v>
      </c>
      <c r="H225" s="11" t="n">
        <v>0</v>
      </c>
      <c r="I225" s="14" t="n">
        <v>3995</v>
      </c>
      <c r="J225" s="14" t="n">
        <v>2200</v>
      </c>
      <c r="K225" s="14" t="n">
        <v>1795</v>
      </c>
      <c r="L225" t="inlineStr">
        <is>
          <t>Cash</t>
        </is>
      </c>
      <c r="M225" t="inlineStr">
        <is>
          <t>Completed</t>
        </is>
      </c>
      <c r="N225" t="inlineStr">
        <is>
          <t>Walk-in</t>
        </is>
      </c>
    </row>
    <row r="226">
      <c r="A226" t="inlineStr">
        <is>
          <t>ORD00225</t>
        </is>
      </c>
      <c r="B226" s="13" t="n">
        <v>46067</v>
      </c>
      <c r="C226" t="inlineStr">
        <is>
          <t>C022</t>
        </is>
      </c>
      <c r="D226" t="inlineStr">
        <is>
          <t>P011</t>
        </is>
      </c>
      <c r="E226" t="n">
        <v>3</v>
      </c>
      <c r="F226" s="14" t="n">
        <v>1495</v>
      </c>
      <c r="G226" s="14" t="n">
        <v>850</v>
      </c>
      <c r="H226" s="11" t="n">
        <v>0</v>
      </c>
      <c r="I226" s="14" t="n">
        <v>4485</v>
      </c>
      <c r="J226" s="14" t="n">
        <v>2550</v>
      </c>
      <c r="K226" s="14" t="n">
        <v>1935</v>
      </c>
      <c r="L226" t="inlineStr">
        <is>
          <t>Card</t>
        </is>
      </c>
      <c r="M226" t="inlineStr">
        <is>
          <t>Completed</t>
        </is>
      </c>
      <c r="N226" t="inlineStr">
        <is>
          <t>TikTok</t>
        </is>
      </c>
    </row>
    <row r="227">
      <c r="A227" t="inlineStr">
        <is>
          <t>ORD00226</t>
        </is>
      </c>
      <c r="B227" s="13" t="n">
        <v>46176</v>
      </c>
      <c r="C227" t="inlineStr">
        <is>
          <t>C021</t>
        </is>
      </c>
      <c r="D227" t="inlineStr">
        <is>
          <t>P003</t>
        </is>
      </c>
      <c r="E227" t="n">
        <v>2</v>
      </c>
      <c r="F227" s="14" t="n">
        <v>5995</v>
      </c>
      <c r="G227" s="14" t="n">
        <v>3800</v>
      </c>
      <c r="H227" s="11" t="n">
        <v>0.1</v>
      </c>
      <c r="I227" s="14" t="n">
        <v>10791</v>
      </c>
      <c r="J227" s="14" t="n">
        <v>7600</v>
      </c>
      <c r="K227" s="14" t="n">
        <v>3191</v>
      </c>
      <c r="L227" t="inlineStr">
        <is>
          <t>Cash</t>
        </is>
      </c>
      <c r="M227" t="inlineStr">
        <is>
          <t>Completed</t>
        </is>
      </c>
      <c r="N227" t="inlineStr">
        <is>
          <t>Facebook</t>
        </is>
      </c>
    </row>
    <row r="228">
      <c r="A228" t="inlineStr">
        <is>
          <t>ORD00227</t>
        </is>
      </c>
      <c r="B228" s="13" t="n">
        <v>46085</v>
      </c>
      <c r="C228" t="inlineStr">
        <is>
          <t>C026</t>
        </is>
      </c>
      <c r="D228" t="inlineStr">
        <is>
          <t>P004</t>
        </is>
      </c>
      <c r="E228" t="n">
        <v>2</v>
      </c>
      <c r="F228" s="14" t="n">
        <v>3995</v>
      </c>
      <c r="G228" s="14" t="n">
        <v>2200</v>
      </c>
      <c r="H228" s="11" t="n">
        <v>0</v>
      </c>
      <c r="I228" s="14" t="n">
        <v>7990</v>
      </c>
      <c r="J228" s="14" t="n">
        <v>4400</v>
      </c>
      <c r="K228" s="14" t="n">
        <v>3590</v>
      </c>
      <c r="L228" t="inlineStr">
        <is>
          <t>Maya</t>
        </is>
      </c>
      <c r="M228" t="inlineStr">
        <is>
          <t>Completed</t>
        </is>
      </c>
      <c r="N228" t="inlineStr">
        <is>
          <t>TikTok</t>
        </is>
      </c>
    </row>
    <row r="229">
      <c r="A229" t="inlineStr">
        <is>
          <t>ORD00228</t>
        </is>
      </c>
      <c r="B229" s="13" t="n">
        <v>46262</v>
      </c>
      <c r="C229" t="inlineStr">
        <is>
          <t>C003</t>
        </is>
      </c>
      <c r="D229" t="inlineStr">
        <is>
          <t>P009</t>
        </is>
      </c>
      <c r="E229" t="n">
        <v>1</v>
      </c>
      <c r="F229" s="14" t="n">
        <v>5795</v>
      </c>
      <c r="G229" s="14" t="n">
        <v>3600</v>
      </c>
      <c r="H229" s="11" t="n">
        <v>0</v>
      </c>
      <c r="I229" s="14" t="n">
        <v>5795</v>
      </c>
      <c r="J229" s="14" t="n">
        <v>3600</v>
      </c>
      <c r="K229" s="14" t="n">
        <v>2195</v>
      </c>
      <c r="L229" t="inlineStr">
        <is>
          <t>Card</t>
        </is>
      </c>
      <c r="M229" t="inlineStr">
        <is>
          <t>Completed</t>
        </is>
      </c>
      <c r="N229" t="inlineStr">
        <is>
          <t>Walk-in</t>
        </is>
      </c>
    </row>
    <row r="230">
      <c r="A230" t="inlineStr">
        <is>
          <t>ORD00229</t>
        </is>
      </c>
      <c r="B230" s="13" t="n">
        <v>46292</v>
      </c>
      <c r="C230" t="inlineStr">
        <is>
          <t>C003</t>
        </is>
      </c>
      <c r="D230" t="inlineStr">
        <is>
          <t>P007</t>
        </is>
      </c>
      <c r="E230" t="n">
        <v>2</v>
      </c>
      <c r="F230" s="14" t="n">
        <v>5295</v>
      </c>
      <c r="G230" s="14" t="n">
        <v>3300</v>
      </c>
      <c r="H230" s="11" t="n">
        <v>0.05</v>
      </c>
      <c r="I230" s="14" t="n">
        <v>10060.5</v>
      </c>
      <c r="J230" s="14" t="n">
        <v>6600</v>
      </c>
      <c r="K230" s="14" t="n">
        <v>3460.5</v>
      </c>
      <c r="L230" t="inlineStr">
        <is>
          <t>Cash</t>
        </is>
      </c>
      <c r="M230" t="inlineStr">
        <is>
          <t>Completed</t>
        </is>
      </c>
      <c r="N230" t="inlineStr">
        <is>
          <t>Website</t>
        </is>
      </c>
    </row>
    <row r="231">
      <c r="A231" t="inlineStr">
        <is>
          <t>ORD00230</t>
        </is>
      </c>
      <c r="B231" s="13" t="n">
        <v>46253</v>
      </c>
      <c r="C231" t="inlineStr">
        <is>
          <t>C005</t>
        </is>
      </c>
      <c r="D231" t="inlineStr">
        <is>
          <t>P008</t>
        </is>
      </c>
      <c r="E231" t="n">
        <v>2</v>
      </c>
      <c r="F231" s="14" t="n">
        <v>4595</v>
      </c>
      <c r="G231" s="14" t="n">
        <v>2800</v>
      </c>
      <c r="H231" s="11" t="n">
        <v>0</v>
      </c>
      <c r="I231" s="14" t="n">
        <v>9190</v>
      </c>
      <c r="J231" s="14" t="n">
        <v>5600</v>
      </c>
      <c r="K231" s="14" t="n">
        <v>3590</v>
      </c>
      <c r="L231" t="inlineStr">
        <is>
          <t>Cash</t>
        </is>
      </c>
      <c r="M231" t="inlineStr">
        <is>
          <t>Completed</t>
        </is>
      </c>
      <c r="N231" t="inlineStr">
        <is>
          <t>Facebook</t>
        </is>
      </c>
    </row>
    <row r="232">
      <c r="A232" t="inlineStr">
        <is>
          <t>ORD00231</t>
        </is>
      </c>
      <c r="B232" s="13" t="n">
        <v>46244</v>
      </c>
      <c r="C232" t="inlineStr">
        <is>
          <t>C027</t>
        </is>
      </c>
      <c r="D232" t="inlineStr">
        <is>
          <t>P009</t>
        </is>
      </c>
      <c r="E232" t="n">
        <v>3</v>
      </c>
      <c r="F232" s="14" t="n">
        <v>5795</v>
      </c>
      <c r="G232" s="14" t="n">
        <v>3600</v>
      </c>
      <c r="H232" s="11" t="n">
        <v>0</v>
      </c>
      <c r="I232" s="14" t="n">
        <v>17385</v>
      </c>
      <c r="J232" s="14" t="n">
        <v>10800</v>
      </c>
      <c r="K232" s="14" t="n">
        <v>6585</v>
      </c>
      <c r="L232" t="inlineStr">
        <is>
          <t>GCash</t>
        </is>
      </c>
      <c r="M232" t="inlineStr">
        <is>
          <t>Completed</t>
        </is>
      </c>
      <c r="N232" t="inlineStr">
        <is>
          <t>TikTok</t>
        </is>
      </c>
    </row>
    <row r="233">
      <c r="A233" t="inlineStr">
        <is>
          <t>ORD00232</t>
        </is>
      </c>
      <c r="B233" s="13" t="n">
        <v>46107</v>
      </c>
      <c r="C233" t="inlineStr">
        <is>
          <t>C008</t>
        </is>
      </c>
      <c r="D233" t="inlineStr">
        <is>
          <t>P003</t>
        </is>
      </c>
      <c r="E233" t="n">
        <v>1</v>
      </c>
      <c r="F233" s="14" t="n">
        <v>5995</v>
      </c>
      <c r="G233" s="14" t="n">
        <v>3800</v>
      </c>
      <c r="H233" s="11" t="n">
        <v>0.1</v>
      </c>
      <c r="I233" s="14" t="n">
        <v>5395.5</v>
      </c>
      <c r="J233" s="14" t="n">
        <v>3800</v>
      </c>
      <c r="K233" s="14" t="n">
        <v>1595.5</v>
      </c>
      <c r="L233" t="inlineStr">
        <is>
          <t>Card</t>
        </is>
      </c>
      <c r="M233" t="inlineStr">
        <is>
          <t>Completed</t>
        </is>
      </c>
      <c r="N233" t="inlineStr">
        <is>
          <t>TikTok</t>
        </is>
      </c>
    </row>
    <row r="234">
      <c r="A234" t="inlineStr">
        <is>
          <t>ORD00233</t>
        </is>
      </c>
      <c r="B234" s="13" t="n">
        <v>46063</v>
      </c>
      <c r="C234" t="inlineStr">
        <is>
          <t>C009</t>
        </is>
      </c>
      <c r="D234" t="inlineStr">
        <is>
          <t>P005</t>
        </is>
      </c>
      <c r="E234" t="n">
        <v>1</v>
      </c>
      <c r="F234" s="14" t="n">
        <v>3695</v>
      </c>
      <c r="G234" s="14" t="n">
        <v>2100</v>
      </c>
      <c r="H234" s="11" t="n">
        <v>0.05</v>
      </c>
      <c r="I234" s="14" t="n">
        <v>3510.25</v>
      </c>
      <c r="J234" s="14" t="n">
        <v>2100</v>
      </c>
      <c r="K234" s="14" t="n">
        <v>1410.25</v>
      </c>
      <c r="L234" t="inlineStr">
        <is>
          <t>Cash</t>
        </is>
      </c>
      <c r="M234" t="inlineStr">
        <is>
          <t>Completed</t>
        </is>
      </c>
      <c r="N234" t="inlineStr">
        <is>
          <t>Website</t>
        </is>
      </c>
    </row>
    <row r="235">
      <c r="A235" t="inlineStr">
        <is>
          <t>ORD00234</t>
        </is>
      </c>
      <c r="B235" s="13" t="n">
        <v>46280</v>
      </c>
      <c r="C235" t="inlineStr">
        <is>
          <t>C005</t>
        </is>
      </c>
      <c r="D235" t="inlineStr">
        <is>
          <t>P011</t>
        </is>
      </c>
      <c r="E235" t="n">
        <v>1</v>
      </c>
      <c r="F235" s="14" t="n">
        <v>1495</v>
      </c>
      <c r="G235" s="14" t="n">
        <v>850</v>
      </c>
      <c r="H235" s="11" t="n">
        <v>0.05</v>
      </c>
      <c r="I235" s="14" t="n">
        <v>1420.25</v>
      </c>
      <c r="J235" s="14" t="n">
        <v>850</v>
      </c>
      <c r="K235" s="14" t="n">
        <v>570.25</v>
      </c>
      <c r="L235" t="inlineStr">
        <is>
          <t>Cash</t>
        </is>
      </c>
      <c r="M235" t="inlineStr">
        <is>
          <t>Completed</t>
        </is>
      </c>
      <c r="N235" t="inlineStr">
        <is>
          <t>TikTok</t>
        </is>
      </c>
    </row>
    <row r="236">
      <c r="A236" t="inlineStr">
        <is>
          <t>ORD00235</t>
        </is>
      </c>
      <c r="B236" s="13" t="n">
        <v>46044</v>
      </c>
      <c r="C236" t="inlineStr">
        <is>
          <t>C025</t>
        </is>
      </c>
      <c r="D236" t="inlineStr">
        <is>
          <t>P001</t>
        </is>
      </c>
      <c r="E236" t="n">
        <v>1</v>
      </c>
      <c r="F236" s="14" t="n">
        <v>4995</v>
      </c>
      <c r="G236" s="14" t="n">
        <v>3200</v>
      </c>
      <c r="H236" s="11" t="n">
        <v>0.1</v>
      </c>
      <c r="I236" s="14" t="n">
        <v>4495.5</v>
      </c>
      <c r="J236" s="14" t="n">
        <v>3200</v>
      </c>
      <c r="K236" s="14" t="n">
        <v>1295.5</v>
      </c>
      <c r="L236" t="inlineStr">
        <is>
          <t>Card</t>
        </is>
      </c>
      <c r="M236" t="inlineStr">
        <is>
          <t>Completed</t>
        </is>
      </c>
      <c r="N236" t="inlineStr">
        <is>
          <t>Walk-in</t>
        </is>
      </c>
    </row>
    <row r="237">
      <c r="A237" t="inlineStr">
        <is>
          <t>ORD00236</t>
        </is>
      </c>
      <c r="B237" s="13" t="n">
        <v>46038</v>
      </c>
      <c r="C237" t="inlineStr">
        <is>
          <t>C010</t>
        </is>
      </c>
      <c r="D237" t="inlineStr">
        <is>
          <t>P008</t>
        </is>
      </c>
      <c r="E237" t="n">
        <v>3</v>
      </c>
      <c r="F237" s="14" t="n">
        <v>4595</v>
      </c>
      <c r="G237" s="14" t="n">
        <v>2800</v>
      </c>
      <c r="H237" s="11" t="n">
        <v>0.05</v>
      </c>
      <c r="I237" s="14" t="n">
        <v>13095.75</v>
      </c>
      <c r="J237" s="14" t="n">
        <v>8400</v>
      </c>
      <c r="K237" s="14" t="n">
        <v>4695.75</v>
      </c>
      <c r="L237" t="inlineStr">
        <is>
          <t>Card</t>
        </is>
      </c>
      <c r="M237" t="inlineStr">
        <is>
          <t>Completed</t>
        </is>
      </c>
      <c r="N237" t="inlineStr">
        <is>
          <t>Walk-in</t>
        </is>
      </c>
    </row>
    <row r="238">
      <c r="A238" t="inlineStr">
        <is>
          <t>ORD00237</t>
        </is>
      </c>
      <c r="B238" s="13" t="n">
        <v>46175</v>
      </c>
      <c r="C238" t="inlineStr">
        <is>
          <t>C006</t>
        </is>
      </c>
      <c r="D238" t="inlineStr">
        <is>
          <t>P008</t>
        </is>
      </c>
      <c r="E238" t="n">
        <v>1</v>
      </c>
      <c r="F238" s="14" t="n">
        <v>4595</v>
      </c>
      <c r="G238" s="14" t="n">
        <v>2800</v>
      </c>
      <c r="H238" s="11" t="n">
        <v>0</v>
      </c>
      <c r="I238" s="14" t="n">
        <v>4595</v>
      </c>
      <c r="J238" s="14" t="n">
        <v>2800</v>
      </c>
      <c r="K238" s="14" t="n">
        <v>1795</v>
      </c>
      <c r="L238" t="inlineStr">
        <is>
          <t>Maya</t>
        </is>
      </c>
      <c r="M238" t="inlineStr">
        <is>
          <t>Completed</t>
        </is>
      </c>
      <c r="N238" t="inlineStr">
        <is>
          <t>Walk-in</t>
        </is>
      </c>
    </row>
    <row r="239">
      <c r="A239" t="inlineStr">
        <is>
          <t>ORD00238</t>
        </is>
      </c>
      <c r="B239" s="13" t="n">
        <v>46127</v>
      </c>
      <c r="C239" t="inlineStr">
        <is>
          <t>C028</t>
        </is>
      </c>
      <c r="D239" t="inlineStr">
        <is>
          <t>P006</t>
        </is>
      </c>
      <c r="E239" t="n">
        <v>2</v>
      </c>
      <c r="F239" s="14" t="n">
        <v>6295</v>
      </c>
      <c r="G239" s="14" t="n">
        <v>3900</v>
      </c>
      <c r="H239" s="11" t="n">
        <v>0</v>
      </c>
      <c r="I239" s="14" t="n">
        <v>12590</v>
      </c>
      <c r="J239" s="14" t="n">
        <v>7800</v>
      </c>
      <c r="K239" s="14" t="n">
        <v>4790</v>
      </c>
      <c r="L239" t="inlineStr">
        <is>
          <t>Card</t>
        </is>
      </c>
      <c r="M239" t="inlineStr">
        <is>
          <t>Completed</t>
        </is>
      </c>
      <c r="N239" t="inlineStr">
        <is>
          <t>TikTok</t>
        </is>
      </c>
    </row>
    <row r="240">
      <c r="A240" t="inlineStr">
        <is>
          <t>ORD00239</t>
        </is>
      </c>
      <c r="B240" s="13" t="n">
        <v>46227</v>
      </c>
      <c r="C240" t="inlineStr">
        <is>
          <t>C018</t>
        </is>
      </c>
      <c r="D240" t="inlineStr">
        <is>
          <t>P003</t>
        </is>
      </c>
      <c r="E240" t="n">
        <v>2</v>
      </c>
      <c r="F240" s="14" t="n">
        <v>5995</v>
      </c>
      <c r="G240" s="14" t="n">
        <v>3800</v>
      </c>
      <c r="H240" s="11" t="n">
        <v>0.05</v>
      </c>
      <c r="I240" s="14" t="n">
        <v>11390.5</v>
      </c>
      <c r="J240" s="14" t="n">
        <v>7600</v>
      </c>
      <c r="K240" s="14" t="n">
        <v>3790.5</v>
      </c>
      <c r="L240" t="inlineStr">
        <is>
          <t>GCash</t>
        </is>
      </c>
      <c r="M240" t="inlineStr">
        <is>
          <t>Completed</t>
        </is>
      </c>
      <c r="N240" t="inlineStr">
        <is>
          <t>Walk-in</t>
        </is>
      </c>
    </row>
    <row r="241">
      <c r="A241" t="inlineStr">
        <is>
          <t>ORD00240</t>
        </is>
      </c>
      <c r="B241" s="13" t="n">
        <v>46085</v>
      </c>
      <c r="C241" t="inlineStr">
        <is>
          <t>C004</t>
        </is>
      </c>
      <c r="D241" t="inlineStr">
        <is>
          <t>P005</t>
        </is>
      </c>
      <c r="E241" t="n">
        <v>1</v>
      </c>
      <c r="F241" s="14" t="n">
        <v>3695</v>
      </c>
      <c r="G241" s="14" t="n">
        <v>2100</v>
      </c>
      <c r="H241" s="11" t="n">
        <v>0</v>
      </c>
      <c r="I241" s="14" t="n">
        <v>3695</v>
      </c>
      <c r="J241" s="14" t="n">
        <v>2100</v>
      </c>
      <c r="K241" s="14" t="n">
        <v>1595</v>
      </c>
      <c r="L241" t="inlineStr">
        <is>
          <t>GCash</t>
        </is>
      </c>
      <c r="M241" t="inlineStr">
        <is>
          <t>Completed</t>
        </is>
      </c>
      <c r="N241" t="inlineStr">
        <is>
          <t>Walk-in</t>
        </is>
      </c>
    </row>
    <row r="242">
      <c r="A242" t="inlineStr">
        <is>
          <t>ORD00241</t>
        </is>
      </c>
      <c r="B242" s="13" t="n">
        <v>46237</v>
      </c>
      <c r="C242" t="inlineStr">
        <is>
          <t>C027</t>
        </is>
      </c>
      <c r="D242" t="inlineStr">
        <is>
          <t>P004</t>
        </is>
      </c>
      <c r="E242" t="n">
        <v>3</v>
      </c>
      <c r="F242" s="14" t="n">
        <v>3995</v>
      </c>
      <c r="G242" s="14" t="n">
        <v>2200</v>
      </c>
      <c r="H242" s="11" t="n">
        <v>0</v>
      </c>
      <c r="I242" s="14" t="n">
        <v>11985</v>
      </c>
      <c r="J242" s="14" t="n">
        <v>6600</v>
      </c>
      <c r="K242" s="14" t="n">
        <v>5385</v>
      </c>
      <c r="L242" t="inlineStr">
        <is>
          <t>Card</t>
        </is>
      </c>
      <c r="M242" t="inlineStr">
        <is>
          <t>Completed</t>
        </is>
      </c>
      <c r="N242" t="inlineStr">
        <is>
          <t>TikTok</t>
        </is>
      </c>
    </row>
    <row r="243">
      <c r="A243" t="inlineStr">
        <is>
          <t>ORD00242</t>
        </is>
      </c>
      <c r="B243" s="13" t="n">
        <v>46120</v>
      </c>
      <c r="C243" t="inlineStr">
        <is>
          <t>C015</t>
        </is>
      </c>
      <c r="D243" t="inlineStr">
        <is>
          <t>P003</t>
        </is>
      </c>
      <c r="E243" t="n">
        <v>1</v>
      </c>
      <c r="F243" s="14" t="n">
        <v>5995</v>
      </c>
      <c r="G243" s="14" t="n">
        <v>3800</v>
      </c>
      <c r="H243" s="11" t="n">
        <v>0.05</v>
      </c>
      <c r="I243" s="14" t="n">
        <v>5695.25</v>
      </c>
      <c r="J243" s="14" t="n">
        <v>3800</v>
      </c>
      <c r="K243" s="14" t="n">
        <v>1895.25</v>
      </c>
      <c r="L243" t="inlineStr">
        <is>
          <t>Maya</t>
        </is>
      </c>
      <c r="M243" t="inlineStr">
        <is>
          <t>Completed</t>
        </is>
      </c>
      <c r="N243" t="inlineStr">
        <is>
          <t>Walk-in</t>
        </is>
      </c>
    </row>
    <row r="244">
      <c r="A244" t="inlineStr">
        <is>
          <t>ORD00243</t>
        </is>
      </c>
      <c r="B244" s="13" t="n">
        <v>46034</v>
      </c>
      <c r="C244" t="inlineStr">
        <is>
          <t>C015</t>
        </is>
      </c>
      <c r="D244" t="inlineStr">
        <is>
          <t>P002</t>
        </is>
      </c>
      <c r="E244" t="n">
        <v>3</v>
      </c>
      <c r="F244" s="14" t="n">
        <v>5495</v>
      </c>
      <c r="G244" s="14" t="n">
        <v>3500</v>
      </c>
      <c r="H244" s="11" t="n">
        <v>0.05</v>
      </c>
      <c r="I244" s="14" t="n">
        <v>15660.75</v>
      </c>
      <c r="J244" s="14" t="n">
        <v>10500</v>
      </c>
      <c r="K244" s="14" t="n">
        <v>5160.75</v>
      </c>
      <c r="L244" t="inlineStr">
        <is>
          <t>Cash</t>
        </is>
      </c>
      <c r="M244" t="inlineStr">
        <is>
          <t>Completed</t>
        </is>
      </c>
      <c r="N244" t="inlineStr">
        <is>
          <t>TikTok</t>
        </is>
      </c>
    </row>
    <row r="245">
      <c r="A245" t="inlineStr">
        <is>
          <t>ORD00244</t>
        </is>
      </c>
      <c r="B245" s="13" t="n">
        <v>46047</v>
      </c>
      <c r="C245" t="inlineStr">
        <is>
          <t>C029</t>
        </is>
      </c>
      <c r="D245" t="inlineStr">
        <is>
          <t>P001</t>
        </is>
      </c>
      <c r="E245" t="n">
        <v>1</v>
      </c>
      <c r="F245" s="14" t="n">
        <v>4995</v>
      </c>
      <c r="G245" s="14" t="n">
        <v>3200</v>
      </c>
      <c r="H245" s="11" t="n">
        <v>0.05</v>
      </c>
      <c r="I245" s="14" t="n">
        <v>4745.25</v>
      </c>
      <c r="J245" s="14" t="n">
        <v>3200</v>
      </c>
      <c r="K245" s="14" t="n">
        <v>1545.25</v>
      </c>
      <c r="L245" t="inlineStr">
        <is>
          <t>Maya</t>
        </is>
      </c>
      <c r="M245" t="inlineStr">
        <is>
          <t>Completed</t>
        </is>
      </c>
      <c r="N245" t="inlineStr">
        <is>
          <t>Website</t>
        </is>
      </c>
    </row>
    <row r="246">
      <c r="A246" t="inlineStr">
        <is>
          <t>ORD00245</t>
        </is>
      </c>
      <c r="B246" s="13" t="n">
        <v>46078</v>
      </c>
      <c r="C246" t="inlineStr">
        <is>
          <t>C024</t>
        </is>
      </c>
      <c r="D246" t="inlineStr">
        <is>
          <t>P007</t>
        </is>
      </c>
      <c r="E246" t="n">
        <v>1</v>
      </c>
      <c r="F246" s="14" t="n">
        <v>5295</v>
      </c>
      <c r="G246" s="14" t="n">
        <v>3300</v>
      </c>
      <c r="H246" s="11" t="n">
        <v>0</v>
      </c>
      <c r="I246" s="14" t="n">
        <v>5295</v>
      </c>
      <c r="J246" s="14" t="n">
        <v>3300</v>
      </c>
      <c r="K246" s="14" t="n">
        <v>1995</v>
      </c>
      <c r="L246" t="inlineStr">
        <is>
          <t>Card</t>
        </is>
      </c>
      <c r="M246" t="inlineStr">
        <is>
          <t>Completed</t>
        </is>
      </c>
      <c r="N246" t="inlineStr">
        <is>
          <t>TikTok</t>
        </is>
      </c>
    </row>
    <row r="247">
      <c r="A247" t="inlineStr">
        <is>
          <t>ORD00246</t>
        </is>
      </c>
      <c r="B247" s="13" t="n">
        <v>46046</v>
      </c>
      <c r="C247" t="inlineStr">
        <is>
          <t>C007</t>
        </is>
      </c>
      <c r="D247" t="inlineStr">
        <is>
          <t>P007</t>
        </is>
      </c>
      <c r="E247" t="n">
        <v>1</v>
      </c>
      <c r="F247" s="14" t="n">
        <v>5295</v>
      </c>
      <c r="G247" s="14" t="n">
        <v>3300</v>
      </c>
      <c r="H247" s="11" t="n">
        <v>0.05</v>
      </c>
      <c r="I247" s="14" t="n">
        <v>5030.25</v>
      </c>
      <c r="J247" s="14" t="n">
        <v>3300</v>
      </c>
      <c r="K247" s="14" t="n">
        <v>1730.25</v>
      </c>
      <c r="L247" t="inlineStr">
        <is>
          <t>Card</t>
        </is>
      </c>
      <c r="M247" t="inlineStr">
        <is>
          <t>Completed</t>
        </is>
      </c>
      <c r="N247" t="inlineStr">
        <is>
          <t>Website</t>
        </is>
      </c>
    </row>
    <row r="248">
      <c r="A248" t="inlineStr">
        <is>
          <t>ORD00247</t>
        </is>
      </c>
      <c r="B248" s="13" t="n">
        <v>46220</v>
      </c>
      <c r="C248" t="inlineStr">
        <is>
          <t>C009</t>
        </is>
      </c>
      <c r="D248" t="inlineStr">
        <is>
          <t>P009</t>
        </is>
      </c>
      <c r="E248" t="n">
        <v>1</v>
      </c>
      <c r="F248" s="14" t="n">
        <v>5795</v>
      </c>
      <c r="G248" s="14" t="n">
        <v>3600</v>
      </c>
      <c r="H248" s="11" t="n">
        <v>0.05</v>
      </c>
      <c r="I248" s="14" t="n">
        <v>5505.25</v>
      </c>
      <c r="J248" s="14" t="n">
        <v>3600</v>
      </c>
      <c r="K248" s="14" t="n">
        <v>1905.25</v>
      </c>
      <c r="L248" t="inlineStr">
        <is>
          <t>GCash</t>
        </is>
      </c>
      <c r="M248" t="inlineStr">
        <is>
          <t>Completed</t>
        </is>
      </c>
      <c r="N248" t="inlineStr">
        <is>
          <t>Website</t>
        </is>
      </c>
    </row>
    <row r="249">
      <c r="A249" t="inlineStr">
        <is>
          <t>ORD00248</t>
        </is>
      </c>
      <c r="B249" s="13" t="n">
        <v>46224</v>
      </c>
      <c r="C249" t="inlineStr">
        <is>
          <t>C018</t>
        </is>
      </c>
      <c r="D249" t="inlineStr">
        <is>
          <t>P006</t>
        </is>
      </c>
      <c r="E249" t="n">
        <v>2</v>
      </c>
      <c r="F249" s="14" t="n">
        <v>6295</v>
      </c>
      <c r="G249" s="14" t="n">
        <v>3900</v>
      </c>
      <c r="H249" s="11" t="n">
        <v>0</v>
      </c>
      <c r="I249" s="14" t="n">
        <v>12590</v>
      </c>
      <c r="J249" s="14" t="n">
        <v>7800</v>
      </c>
      <c r="K249" s="14" t="n">
        <v>4790</v>
      </c>
      <c r="L249" t="inlineStr">
        <is>
          <t>Card</t>
        </is>
      </c>
      <c r="M249" t="inlineStr">
        <is>
          <t>Completed</t>
        </is>
      </c>
      <c r="N249" t="inlineStr">
        <is>
          <t>Facebook</t>
        </is>
      </c>
    </row>
    <row r="250">
      <c r="A250" t="inlineStr">
        <is>
          <t>ORD00249</t>
        </is>
      </c>
      <c r="B250" s="13" t="n">
        <v>46283</v>
      </c>
      <c r="C250" t="inlineStr">
        <is>
          <t>C002</t>
        </is>
      </c>
      <c r="D250" t="inlineStr">
        <is>
          <t>P007</t>
        </is>
      </c>
      <c r="E250" t="n">
        <v>1</v>
      </c>
      <c r="F250" s="14" t="n">
        <v>5295</v>
      </c>
      <c r="G250" s="14" t="n">
        <v>3300</v>
      </c>
      <c r="H250" s="11" t="n">
        <v>0</v>
      </c>
      <c r="I250" s="14" t="n">
        <v>5295</v>
      </c>
      <c r="J250" s="14" t="n">
        <v>3300</v>
      </c>
      <c r="K250" s="14" t="n">
        <v>1995</v>
      </c>
      <c r="L250" t="inlineStr">
        <is>
          <t>Cash</t>
        </is>
      </c>
      <c r="M250" t="inlineStr">
        <is>
          <t>Completed</t>
        </is>
      </c>
      <c r="N250" t="inlineStr">
        <is>
          <t>Walk-in</t>
        </is>
      </c>
    </row>
    <row r="251">
      <c r="A251" t="inlineStr">
        <is>
          <t>ORD00250</t>
        </is>
      </c>
      <c r="B251" s="13" t="n">
        <v>46288</v>
      </c>
      <c r="C251" t="inlineStr">
        <is>
          <t>C005</t>
        </is>
      </c>
      <c r="D251" t="inlineStr">
        <is>
          <t>P008</t>
        </is>
      </c>
      <c r="E251" t="n">
        <v>1</v>
      </c>
      <c r="F251" s="14" t="n">
        <v>4595</v>
      </c>
      <c r="G251" s="14" t="n">
        <v>2800</v>
      </c>
      <c r="H251" s="11" t="n">
        <v>0.05</v>
      </c>
      <c r="I251" s="14" t="n">
        <v>4365.25</v>
      </c>
      <c r="J251" s="14" t="n">
        <v>2800</v>
      </c>
      <c r="K251" s="14" t="n">
        <v>1565.25</v>
      </c>
      <c r="L251" t="inlineStr">
        <is>
          <t>Card</t>
        </is>
      </c>
      <c r="M251" t="inlineStr">
        <is>
          <t>Completed</t>
        </is>
      </c>
      <c r="N251" t="inlineStr">
        <is>
          <t>TikTok</t>
        </is>
      </c>
    </row>
    <row r="252">
      <c r="A252" t="inlineStr">
        <is>
          <t>ORD00251</t>
        </is>
      </c>
      <c r="B252" s="13" t="n">
        <v>46106</v>
      </c>
      <c r="C252" t="inlineStr">
        <is>
          <t>C027</t>
        </is>
      </c>
      <c r="D252" t="inlineStr">
        <is>
          <t>P007</t>
        </is>
      </c>
      <c r="E252" t="n">
        <v>4</v>
      </c>
      <c r="F252" s="14" t="n">
        <v>5295</v>
      </c>
      <c r="G252" s="14" t="n">
        <v>3300</v>
      </c>
      <c r="H252" s="11" t="n">
        <v>0.1</v>
      </c>
      <c r="I252" s="14" t="n">
        <v>19062</v>
      </c>
      <c r="J252" s="14" t="n">
        <v>13200</v>
      </c>
      <c r="K252" s="14" t="n">
        <v>5862</v>
      </c>
      <c r="L252" t="inlineStr">
        <is>
          <t>Card</t>
        </is>
      </c>
      <c r="M252" t="inlineStr">
        <is>
          <t>Completed</t>
        </is>
      </c>
      <c r="N252" t="inlineStr">
        <is>
          <t>Walk-in</t>
        </is>
      </c>
    </row>
    <row r="253">
      <c r="A253" t="inlineStr">
        <is>
          <t>ORD00252</t>
        </is>
      </c>
      <c r="B253" s="13" t="n">
        <v>46176</v>
      </c>
      <c r="C253" t="inlineStr">
        <is>
          <t>C011</t>
        </is>
      </c>
      <c r="D253" t="inlineStr">
        <is>
          <t>P008</t>
        </is>
      </c>
      <c r="E253" t="n">
        <v>2</v>
      </c>
      <c r="F253" s="14" t="n">
        <v>4595</v>
      </c>
      <c r="G253" s="14" t="n">
        <v>2800</v>
      </c>
      <c r="H253" s="11" t="n">
        <v>0</v>
      </c>
      <c r="I253" s="14" t="n">
        <v>9190</v>
      </c>
      <c r="J253" s="14" t="n">
        <v>5600</v>
      </c>
      <c r="K253" s="14" t="n">
        <v>3590</v>
      </c>
      <c r="L253" t="inlineStr">
        <is>
          <t>GCash</t>
        </is>
      </c>
      <c r="M253" t="inlineStr">
        <is>
          <t>Completed</t>
        </is>
      </c>
      <c r="N253" t="inlineStr">
        <is>
          <t>TikTok</t>
        </is>
      </c>
    </row>
    <row r="254">
      <c r="A254" t="inlineStr">
        <is>
          <t>ORD00253</t>
        </is>
      </c>
      <c r="B254" s="13" t="n">
        <v>46036</v>
      </c>
      <c r="C254" t="inlineStr">
        <is>
          <t>C026</t>
        </is>
      </c>
      <c r="D254" t="inlineStr">
        <is>
          <t>P010</t>
        </is>
      </c>
      <c r="E254" t="n">
        <v>1</v>
      </c>
      <c r="F254" s="14" t="n">
        <v>4495</v>
      </c>
      <c r="G254" s="14" t="n">
        <v>2600</v>
      </c>
      <c r="H254" s="11" t="n">
        <v>0.1</v>
      </c>
      <c r="I254" s="14" t="n">
        <v>4045.5</v>
      </c>
      <c r="J254" s="14" t="n">
        <v>2600</v>
      </c>
      <c r="K254" s="14" t="n">
        <v>1445.5</v>
      </c>
      <c r="L254" t="inlineStr">
        <is>
          <t>Cash</t>
        </is>
      </c>
      <c r="M254" t="inlineStr">
        <is>
          <t>Completed</t>
        </is>
      </c>
      <c r="N254" t="inlineStr">
        <is>
          <t>Walk-in</t>
        </is>
      </c>
    </row>
    <row r="255">
      <c r="A255" t="inlineStr">
        <is>
          <t>ORD00254</t>
        </is>
      </c>
      <c r="B255" s="13" t="n">
        <v>46110</v>
      </c>
      <c r="C255" t="inlineStr">
        <is>
          <t>C025</t>
        </is>
      </c>
      <c r="D255" t="inlineStr">
        <is>
          <t>P009</t>
        </is>
      </c>
      <c r="E255" t="n">
        <v>2</v>
      </c>
      <c r="F255" s="14" t="n">
        <v>5795</v>
      </c>
      <c r="G255" s="14" t="n">
        <v>3600</v>
      </c>
      <c r="H255" s="11" t="n">
        <v>0.05</v>
      </c>
      <c r="I255" s="14" t="n">
        <v>11010.5</v>
      </c>
      <c r="J255" s="14" t="n">
        <v>7200</v>
      </c>
      <c r="K255" s="14" t="n">
        <v>3810.5</v>
      </c>
      <c r="L255" t="inlineStr">
        <is>
          <t>Maya</t>
        </is>
      </c>
      <c r="M255" t="inlineStr">
        <is>
          <t>Completed</t>
        </is>
      </c>
      <c r="N255" t="inlineStr">
        <is>
          <t>Facebook</t>
        </is>
      </c>
    </row>
    <row r="256">
      <c r="A256" t="inlineStr">
        <is>
          <t>ORD00255</t>
        </is>
      </c>
      <c r="B256" s="13" t="n">
        <v>46039</v>
      </c>
      <c r="C256" t="inlineStr">
        <is>
          <t>C007</t>
        </is>
      </c>
      <c r="D256" t="inlineStr">
        <is>
          <t>P010</t>
        </is>
      </c>
      <c r="E256" t="n">
        <v>3</v>
      </c>
      <c r="F256" s="14" t="n">
        <v>4495</v>
      </c>
      <c r="G256" s="14" t="n">
        <v>2600</v>
      </c>
      <c r="H256" s="11" t="n">
        <v>0</v>
      </c>
      <c r="I256" s="14" t="n">
        <v>13485</v>
      </c>
      <c r="J256" s="14" t="n">
        <v>7800</v>
      </c>
      <c r="K256" s="14" t="n">
        <v>5685</v>
      </c>
      <c r="L256" t="inlineStr">
        <is>
          <t>GCash</t>
        </is>
      </c>
      <c r="M256" t="inlineStr">
        <is>
          <t>Completed</t>
        </is>
      </c>
      <c r="N256" t="inlineStr">
        <is>
          <t>Walk-in</t>
        </is>
      </c>
    </row>
    <row r="257">
      <c r="A257" t="inlineStr">
        <is>
          <t>ORD00256</t>
        </is>
      </c>
      <c r="B257" s="13" t="n">
        <v>46100</v>
      </c>
      <c r="C257" t="inlineStr">
        <is>
          <t>C017</t>
        </is>
      </c>
      <c r="D257" t="inlineStr">
        <is>
          <t>P007</t>
        </is>
      </c>
      <c r="E257" t="n">
        <v>2</v>
      </c>
      <c r="F257" s="14" t="n">
        <v>5295</v>
      </c>
      <c r="G257" s="14" t="n">
        <v>3300</v>
      </c>
      <c r="H257" s="11" t="n">
        <v>0.03</v>
      </c>
      <c r="I257" s="14" t="n">
        <v>10272.3</v>
      </c>
      <c r="J257" s="14" t="n">
        <v>6600</v>
      </c>
      <c r="K257" s="14" t="n">
        <v>3672.299999999999</v>
      </c>
      <c r="L257" t="inlineStr">
        <is>
          <t>Maya</t>
        </is>
      </c>
      <c r="M257" t="inlineStr">
        <is>
          <t>Completed</t>
        </is>
      </c>
      <c r="N257" t="inlineStr">
        <is>
          <t>Website</t>
        </is>
      </c>
    </row>
    <row r="258">
      <c r="A258" t="inlineStr">
        <is>
          <t>ORD00257</t>
        </is>
      </c>
      <c r="B258" s="13" t="n">
        <v>46093</v>
      </c>
      <c r="C258" t="inlineStr">
        <is>
          <t>C022</t>
        </is>
      </c>
      <c r="D258" t="inlineStr">
        <is>
          <t>P009</t>
        </is>
      </c>
      <c r="E258" t="n">
        <v>1</v>
      </c>
      <c r="F258" s="14" t="n">
        <v>5795</v>
      </c>
      <c r="G258" s="14" t="n">
        <v>3600</v>
      </c>
      <c r="H258" s="11" t="n">
        <v>0</v>
      </c>
      <c r="I258" s="14" t="n">
        <v>5795</v>
      </c>
      <c r="J258" s="14" t="n">
        <v>3600</v>
      </c>
      <c r="K258" s="14" t="n">
        <v>2195</v>
      </c>
      <c r="L258" t="inlineStr">
        <is>
          <t>Maya</t>
        </is>
      </c>
      <c r="M258" t="inlineStr">
        <is>
          <t>Completed</t>
        </is>
      </c>
      <c r="N258" t="inlineStr">
        <is>
          <t>TikTok</t>
        </is>
      </c>
    </row>
    <row r="259">
      <c r="A259" t="inlineStr">
        <is>
          <t>ORD00258</t>
        </is>
      </c>
      <c r="B259" s="13" t="n">
        <v>46111</v>
      </c>
      <c r="C259" t="inlineStr">
        <is>
          <t>C018</t>
        </is>
      </c>
      <c r="D259" t="inlineStr">
        <is>
          <t>P008</t>
        </is>
      </c>
      <c r="E259" t="n">
        <v>3</v>
      </c>
      <c r="F259" s="14" t="n">
        <v>4595</v>
      </c>
      <c r="G259" s="14" t="n">
        <v>2800</v>
      </c>
      <c r="H259" s="11" t="n">
        <v>0</v>
      </c>
      <c r="I259" s="14" t="n">
        <v>13785</v>
      </c>
      <c r="J259" s="14" t="n">
        <v>8400</v>
      </c>
      <c r="K259" s="14" t="n">
        <v>5385</v>
      </c>
      <c r="L259" t="inlineStr">
        <is>
          <t>Card</t>
        </is>
      </c>
      <c r="M259" t="inlineStr">
        <is>
          <t>Completed</t>
        </is>
      </c>
      <c r="N259" t="inlineStr">
        <is>
          <t>TikTok</t>
        </is>
      </c>
    </row>
    <row r="260">
      <c r="A260" t="inlineStr">
        <is>
          <t>ORD00259</t>
        </is>
      </c>
      <c r="B260" s="13" t="n">
        <v>46270</v>
      </c>
      <c r="C260" t="inlineStr">
        <is>
          <t>C018</t>
        </is>
      </c>
      <c r="D260" t="inlineStr">
        <is>
          <t>P004</t>
        </is>
      </c>
      <c r="E260" t="n">
        <v>3</v>
      </c>
      <c r="F260" s="14" t="n">
        <v>3995</v>
      </c>
      <c r="G260" s="14" t="n">
        <v>2200</v>
      </c>
      <c r="H260" s="11" t="n">
        <v>0</v>
      </c>
      <c r="I260" s="14" t="n">
        <v>11985</v>
      </c>
      <c r="J260" s="14" t="n">
        <v>6600</v>
      </c>
      <c r="K260" s="14" t="n">
        <v>5385</v>
      </c>
      <c r="L260" t="inlineStr">
        <is>
          <t>Card</t>
        </is>
      </c>
      <c r="M260" t="inlineStr">
        <is>
          <t>Completed</t>
        </is>
      </c>
      <c r="N260" t="inlineStr">
        <is>
          <t>TikTok</t>
        </is>
      </c>
    </row>
    <row r="261">
      <c r="A261" t="inlineStr">
        <is>
          <t>ORD00260</t>
        </is>
      </c>
      <c r="B261" s="13" t="n">
        <v>46170</v>
      </c>
      <c r="C261" t="inlineStr">
        <is>
          <t>C016</t>
        </is>
      </c>
      <c r="D261" t="inlineStr">
        <is>
          <t>P012</t>
        </is>
      </c>
      <c r="E261" t="n">
        <v>1</v>
      </c>
      <c r="F261" s="14" t="n">
        <v>1595</v>
      </c>
      <c r="G261" s="14" t="n">
        <v>900</v>
      </c>
      <c r="H261" s="11" t="n">
        <v>0.1</v>
      </c>
      <c r="I261" s="14" t="n">
        <v>1435.5</v>
      </c>
      <c r="J261" s="14" t="n">
        <v>900</v>
      </c>
      <c r="K261" s="14" t="n">
        <v>535.5</v>
      </c>
      <c r="L261" t="inlineStr">
        <is>
          <t>Card</t>
        </is>
      </c>
      <c r="M261" t="inlineStr">
        <is>
          <t>Completed</t>
        </is>
      </c>
      <c r="N261" t="inlineStr">
        <is>
          <t>TikTok</t>
        </is>
      </c>
    </row>
    <row r="262">
      <c r="A262" t="inlineStr">
        <is>
          <t>ORD00261</t>
        </is>
      </c>
      <c r="B262" s="13" t="n">
        <v>46170</v>
      </c>
      <c r="C262" t="inlineStr">
        <is>
          <t>C013</t>
        </is>
      </c>
      <c r="D262" t="inlineStr">
        <is>
          <t>P002</t>
        </is>
      </c>
      <c r="E262" t="n">
        <v>1</v>
      </c>
      <c r="F262" s="14" t="n">
        <v>5495</v>
      </c>
      <c r="G262" s="14" t="n">
        <v>3500</v>
      </c>
      <c r="H262" s="11" t="n">
        <v>0.05</v>
      </c>
      <c r="I262" s="14" t="n">
        <v>5220.25</v>
      </c>
      <c r="J262" s="14" t="n">
        <v>3500</v>
      </c>
      <c r="K262" s="14" t="n">
        <v>1720.25</v>
      </c>
      <c r="L262" t="inlineStr">
        <is>
          <t>Maya</t>
        </is>
      </c>
      <c r="M262" t="inlineStr">
        <is>
          <t>Completed</t>
        </is>
      </c>
      <c r="N262" t="inlineStr">
        <is>
          <t>Facebook</t>
        </is>
      </c>
    </row>
    <row r="263">
      <c r="A263" t="inlineStr">
        <is>
          <t>ORD00262</t>
        </is>
      </c>
      <c r="B263" s="13" t="n">
        <v>46171</v>
      </c>
      <c r="C263" t="inlineStr">
        <is>
          <t>C003</t>
        </is>
      </c>
      <c r="D263" t="inlineStr">
        <is>
          <t>P001</t>
        </is>
      </c>
      <c r="E263" t="n">
        <v>1</v>
      </c>
      <c r="F263" s="14" t="n">
        <v>4995</v>
      </c>
      <c r="G263" s="14" t="n">
        <v>3200</v>
      </c>
      <c r="H263" s="11" t="n">
        <v>0.1</v>
      </c>
      <c r="I263" s="14" t="n">
        <v>4495.5</v>
      </c>
      <c r="J263" s="14" t="n">
        <v>3200</v>
      </c>
      <c r="K263" s="14" t="n">
        <v>1295.5</v>
      </c>
      <c r="L263" t="inlineStr">
        <is>
          <t>Card</t>
        </is>
      </c>
      <c r="M263" t="inlineStr">
        <is>
          <t>Completed</t>
        </is>
      </c>
      <c r="N263" t="inlineStr">
        <is>
          <t>TikTok</t>
        </is>
      </c>
    </row>
    <row r="264">
      <c r="A264" t="inlineStr">
        <is>
          <t>ORD00263</t>
        </is>
      </c>
      <c r="B264" s="13" t="n">
        <v>46268</v>
      </c>
      <c r="C264" t="inlineStr">
        <is>
          <t>C009</t>
        </is>
      </c>
      <c r="D264" t="inlineStr">
        <is>
          <t>P004</t>
        </is>
      </c>
      <c r="E264" t="n">
        <v>1</v>
      </c>
      <c r="F264" s="14" t="n">
        <v>3995</v>
      </c>
      <c r="G264" s="14" t="n">
        <v>2200</v>
      </c>
      <c r="H264" s="11" t="n">
        <v>0.05</v>
      </c>
      <c r="I264" s="14" t="n">
        <v>3795.25</v>
      </c>
      <c r="J264" s="14" t="n">
        <v>2200</v>
      </c>
      <c r="K264" s="14" t="n">
        <v>1595.25</v>
      </c>
      <c r="L264" t="inlineStr">
        <is>
          <t>Card</t>
        </is>
      </c>
      <c r="M264" t="inlineStr">
        <is>
          <t>Completed</t>
        </is>
      </c>
      <c r="N264" t="inlineStr">
        <is>
          <t>Facebook</t>
        </is>
      </c>
    </row>
    <row r="265">
      <c r="A265" t="inlineStr">
        <is>
          <t>ORD00264</t>
        </is>
      </c>
      <c r="B265" s="13" t="n">
        <v>46147</v>
      </c>
      <c r="C265" t="inlineStr">
        <is>
          <t>C008</t>
        </is>
      </c>
      <c r="D265" t="inlineStr">
        <is>
          <t>P001</t>
        </is>
      </c>
      <c r="E265" t="n">
        <v>2</v>
      </c>
      <c r="F265" s="14" t="n">
        <v>4995</v>
      </c>
      <c r="G265" s="14" t="n">
        <v>3200</v>
      </c>
      <c r="H265" s="11" t="n">
        <v>0.05</v>
      </c>
      <c r="I265" s="14" t="n">
        <v>9490.5</v>
      </c>
      <c r="J265" s="14" t="n">
        <v>6400</v>
      </c>
      <c r="K265" s="14" t="n">
        <v>3090.5</v>
      </c>
      <c r="L265" t="inlineStr">
        <is>
          <t>Cash</t>
        </is>
      </c>
      <c r="M265" t="inlineStr">
        <is>
          <t>Completed</t>
        </is>
      </c>
      <c r="N265" t="inlineStr">
        <is>
          <t>Walk-in</t>
        </is>
      </c>
    </row>
    <row r="266">
      <c r="A266" t="inlineStr">
        <is>
          <t>ORD00265</t>
        </is>
      </c>
      <c r="B266" s="13" t="n">
        <v>46192</v>
      </c>
      <c r="C266" t="inlineStr">
        <is>
          <t>C025</t>
        </is>
      </c>
      <c r="D266" t="inlineStr">
        <is>
          <t>P012</t>
        </is>
      </c>
      <c r="E266" t="n">
        <v>1</v>
      </c>
      <c r="F266" s="14" t="n">
        <v>1595</v>
      </c>
      <c r="G266" s="14" t="n">
        <v>900</v>
      </c>
      <c r="H266" s="11" t="n">
        <v>0.1</v>
      </c>
      <c r="I266" s="14" t="n">
        <v>1435.5</v>
      </c>
      <c r="J266" s="14" t="n">
        <v>900</v>
      </c>
      <c r="K266" s="14" t="n">
        <v>535.5</v>
      </c>
      <c r="L266" t="inlineStr">
        <is>
          <t>Cash</t>
        </is>
      </c>
      <c r="M266" t="inlineStr">
        <is>
          <t>Completed</t>
        </is>
      </c>
      <c r="N266" t="inlineStr">
        <is>
          <t>Facebook</t>
        </is>
      </c>
    </row>
    <row r="267">
      <c r="A267" t="inlineStr">
        <is>
          <t>ORD00266</t>
        </is>
      </c>
      <c r="B267" s="13" t="n">
        <v>46231</v>
      </c>
      <c r="C267" t="inlineStr">
        <is>
          <t>C016</t>
        </is>
      </c>
      <c r="D267" t="inlineStr">
        <is>
          <t>P011</t>
        </is>
      </c>
      <c r="E267" t="n">
        <v>3</v>
      </c>
      <c r="F267" s="14" t="n">
        <v>1495</v>
      </c>
      <c r="G267" s="14" t="n">
        <v>850</v>
      </c>
      <c r="H267" s="11" t="n">
        <v>0.03</v>
      </c>
      <c r="I267" s="14" t="n">
        <v>4350.45</v>
      </c>
      <c r="J267" s="14" t="n">
        <v>2550</v>
      </c>
      <c r="K267" s="14" t="n">
        <v>1800.45</v>
      </c>
      <c r="L267" t="inlineStr">
        <is>
          <t>Cash</t>
        </is>
      </c>
      <c r="M267" t="inlineStr">
        <is>
          <t>Completed</t>
        </is>
      </c>
      <c r="N267" t="inlineStr">
        <is>
          <t>TikTok</t>
        </is>
      </c>
    </row>
    <row r="268">
      <c r="A268" t="inlineStr">
        <is>
          <t>ORD00267</t>
        </is>
      </c>
      <c r="B268" s="13" t="n">
        <v>46187</v>
      </c>
      <c r="C268" t="inlineStr">
        <is>
          <t>C021</t>
        </is>
      </c>
      <c r="D268" t="inlineStr">
        <is>
          <t>P005</t>
        </is>
      </c>
      <c r="E268" t="n">
        <v>2</v>
      </c>
      <c r="F268" s="14" t="n">
        <v>3695</v>
      </c>
      <c r="G268" s="14" t="n">
        <v>2100</v>
      </c>
      <c r="H268" s="11" t="n">
        <v>0</v>
      </c>
      <c r="I268" s="14" t="n">
        <v>7390</v>
      </c>
      <c r="J268" s="14" t="n">
        <v>4200</v>
      </c>
      <c r="K268" s="14" t="n">
        <v>3190</v>
      </c>
      <c r="L268" t="inlineStr">
        <is>
          <t>Cash</t>
        </is>
      </c>
      <c r="M268" t="inlineStr">
        <is>
          <t>Completed</t>
        </is>
      </c>
      <c r="N268" t="inlineStr">
        <is>
          <t>Website</t>
        </is>
      </c>
    </row>
    <row r="269">
      <c r="A269" t="inlineStr">
        <is>
          <t>ORD00268</t>
        </is>
      </c>
      <c r="B269" s="13" t="n">
        <v>46112</v>
      </c>
      <c r="C269" t="inlineStr">
        <is>
          <t>C030</t>
        </is>
      </c>
      <c r="D269" t="inlineStr">
        <is>
          <t>P007</t>
        </is>
      </c>
      <c r="E269" t="n">
        <v>3</v>
      </c>
      <c r="F269" s="14" t="n">
        <v>5295</v>
      </c>
      <c r="G269" s="14" t="n">
        <v>3300</v>
      </c>
      <c r="H269" s="11" t="n">
        <v>0</v>
      </c>
      <c r="I269" s="14" t="n">
        <v>0</v>
      </c>
      <c r="J269" s="14" t="n">
        <v>0</v>
      </c>
      <c r="K269" s="14" t="n">
        <v>0</v>
      </c>
      <c r="L269" t="inlineStr">
        <is>
          <t>GCash</t>
        </is>
      </c>
      <c r="M269" t="inlineStr">
        <is>
          <t>Cancelled</t>
        </is>
      </c>
      <c r="N269" t="inlineStr">
        <is>
          <t>Walk-in</t>
        </is>
      </c>
    </row>
    <row r="270">
      <c r="A270" t="inlineStr">
        <is>
          <t>ORD00269</t>
        </is>
      </c>
      <c r="B270" s="13" t="n">
        <v>46276</v>
      </c>
      <c r="C270" t="inlineStr">
        <is>
          <t>C029</t>
        </is>
      </c>
      <c r="D270" t="inlineStr">
        <is>
          <t>P003</t>
        </is>
      </c>
      <c r="E270" t="n">
        <v>3</v>
      </c>
      <c r="F270" s="14" t="n">
        <v>5995</v>
      </c>
      <c r="G270" s="14" t="n">
        <v>3800</v>
      </c>
      <c r="H270" s="11" t="n">
        <v>0</v>
      </c>
      <c r="I270" s="14" t="n">
        <v>17985</v>
      </c>
      <c r="J270" s="14" t="n">
        <v>11400</v>
      </c>
      <c r="K270" s="14" t="n">
        <v>6585</v>
      </c>
      <c r="L270" t="inlineStr">
        <is>
          <t>GCash</t>
        </is>
      </c>
      <c r="M270" t="inlineStr">
        <is>
          <t>Completed</t>
        </is>
      </c>
      <c r="N270" t="inlineStr">
        <is>
          <t>Website</t>
        </is>
      </c>
    </row>
    <row r="271">
      <c r="A271" t="inlineStr">
        <is>
          <t>ORD00270</t>
        </is>
      </c>
      <c r="B271" s="13" t="n">
        <v>46194</v>
      </c>
      <c r="C271" t="inlineStr">
        <is>
          <t>C018</t>
        </is>
      </c>
      <c r="D271" t="inlineStr">
        <is>
          <t>P005</t>
        </is>
      </c>
      <c r="E271" t="n">
        <v>1</v>
      </c>
      <c r="F271" s="14" t="n">
        <v>3695</v>
      </c>
      <c r="G271" s="14" t="n">
        <v>2100</v>
      </c>
      <c r="H271" s="11" t="n">
        <v>0.1</v>
      </c>
      <c r="I271" s="14" t="n">
        <v>3325.5</v>
      </c>
      <c r="J271" s="14" t="n">
        <v>2100</v>
      </c>
      <c r="K271" s="14" t="n">
        <v>1225.5</v>
      </c>
      <c r="L271" t="inlineStr">
        <is>
          <t>Maya</t>
        </is>
      </c>
      <c r="M271" t="inlineStr">
        <is>
          <t>Completed</t>
        </is>
      </c>
      <c r="N271" t="inlineStr">
        <is>
          <t>Facebook</t>
        </is>
      </c>
    </row>
    <row r="272">
      <c r="A272" t="inlineStr">
        <is>
          <t>ORD00271</t>
        </is>
      </c>
      <c r="B272" s="13" t="n">
        <v>46281</v>
      </c>
      <c r="C272" t="inlineStr">
        <is>
          <t>C011</t>
        </is>
      </c>
      <c r="D272" t="inlineStr">
        <is>
          <t>P008</t>
        </is>
      </c>
      <c r="E272" t="n">
        <v>1</v>
      </c>
      <c r="F272" s="14" t="n">
        <v>4595</v>
      </c>
      <c r="G272" s="14" t="n">
        <v>2800</v>
      </c>
      <c r="H272" s="11" t="n">
        <v>0</v>
      </c>
      <c r="I272" s="14" t="n">
        <v>4595</v>
      </c>
      <c r="J272" s="14" t="n">
        <v>2800</v>
      </c>
      <c r="K272" s="14" t="n">
        <v>1795</v>
      </c>
      <c r="L272" t="inlineStr">
        <is>
          <t>Cash</t>
        </is>
      </c>
      <c r="M272" t="inlineStr">
        <is>
          <t>Completed</t>
        </is>
      </c>
      <c r="N272" t="inlineStr">
        <is>
          <t>TikTok</t>
        </is>
      </c>
    </row>
    <row r="273">
      <c r="A273" t="inlineStr">
        <is>
          <t>ORD00272</t>
        </is>
      </c>
      <c r="B273" s="13" t="n">
        <v>46118</v>
      </c>
      <c r="C273" t="inlineStr">
        <is>
          <t>C019</t>
        </is>
      </c>
      <c r="D273" t="inlineStr">
        <is>
          <t>P001</t>
        </is>
      </c>
      <c r="E273" t="n">
        <v>2</v>
      </c>
      <c r="F273" s="14" t="n">
        <v>4995</v>
      </c>
      <c r="G273" s="14" t="n">
        <v>3200</v>
      </c>
      <c r="H273" s="11" t="n">
        <v>0</v>
      </c>
      <c r="I273" s="14" t="n">
        <v>9990</v>
      </c>
      <c r="J273" s="14" t="n">
        <v>6400</v>
      </c>
      <c r="K273" s="14" t="n">
        <v>3590</v>
      </c>
      <c r="L273" t="inlineStr">
        <is>
          <t>Cash</t>
        </is>
      </c>
      <c r="M273" t="inlineStr">
        <is>
          <t>Completed</t>
        </is>
      </c>
      <c r="N273" t="inlineStr">
        <is>
          <t>Walk-in</t>
        </is>
      </c>
    </row>
    <row r="274">
      <c r="A274" t="inlineStr">
        <is>
          <t>ORD00273</t>
        </is>
      </c>
      <c r="B274" s="13" t="n">
        <v>46241</v>
      </c>
      <c r="C274" t="inlineStr">
        <is>
          <t>C022</t>
        </is>
      </c>
      <c r="D274" t="inlineStr">
        <is>
          <t>P009</t>
        </is>
      </c>
      <c r="E274" t="n">
        <v>1</v>
      </c>
      <c r="F274" s="14" t="n">
        <v>5795</v>
      </c>
      <c r="G274" s="14" t="n">
        <v>3600</v>
      </c>
      <c r="H274" s="11" t="n">
        <v>0.03</v>
      </c>
      <c r="I274" s="14" t="n">
        <v>5621.15</v>
      </c>
      <c r="J274" s="14" t="n">
        <v>3600</v>
      </c>
      <c r="K274" s="14" t="n">
        <v>2021.15</v>
      </c>
      <c r="L274" t="inlineStr">
        <is>
          <t>GCash</t>
        </is>
      </c>
      <c r="M274" t="inlineStr">
        <is>
          <t>Completed</t>
        </is>
      </c>
      <c r="N274" t="inlineStr">
        <is>
          <t>Facebook</t>
        </is>
      </c>
    </row>
    <row r="275">
      <c r="A275" t="inlineStr">
        <is>
          <t>ORD00274</t>
        </is>
      </c>
      <c r="B275" s="13" t="n">
        <v>46267</v>
      </c>
      <c r="C275" t="inlineStr">
        <is>
          <t>C009</t>
        </is>
      </c>
      <c r="D275" t="inlineStr">
        <is>
          <t>P006</t>
        </is>
      </c>
      <c r="E275" t="n">
        <v>3</v>
      </c>
      <c r="F275" s="14" t="n">
        <v>6295</v>
      </c>
      <c r="G275" s="14" t="n">
        <v>3900</v>
      </c>
      <c r="H275" s="11" t="n">
        <v>0</v>
      </c>
      <c r="I275" s="14" t="n">
        <v>18885</v>
      </c>
      <c r="J275" s="14" t="n">
        <v>11700</v>
      </c>
      <c r="K275" s="14" t="n">
        <v>7185</v>
      </c>
      <c r="L275" t="inlineStr">
        <is>
          <t>Maya</t>
        </is>
      </c>
      <c r="M275" t="inlineStr">
        <is>
          <t>Completed</t>
        </is>
      </c>
      <c r="N275" t="inlineStr">
        <is>
          <t>TikTok</t>
        </is>
      </c>
    </row>
    <row r="276">
      <c r="A276" t="inlineStr">
        <is>
          <t>ORD00275</t>
        </is>
      </c>
      <c r="B276" s="13" t="n">
        <v>46191</v>
      </c>
      <c r="C276" t="inlineStr">
        <is>
          <t>C001</t>
        </is>
      </c>
      <c r="D276" t="inlineStr">
        <is>
          <t>P005</t>
        </is>
      </c>
      <c r="E276" t="n">
        <v>1</v>
      </c>
      <c r="F276" s="14" t="n">
        <v>3695</v>
      </c>
      <c r="G276" s="14" t="n">
        <v>2100</v>
      </c>
      <c r="H276" s="11" t="n">
        <v>0.05</v>
      </c>
      <c r="I276" s="14" t="n">
        <v>3510.25</v>
      </c>
      <c r="J276" s="14" t="n">
        <v>2100</v>
      </c>
      <c r="K276" s="14" t="n">
        <v>1410.25</v>
      </c>
      <c r="L276" t="inlineStr">
        <is>
          <t>Card</t>
        </is>
      </c>
      <c r="M276" t="inlineStr">
        <is>
          <t>Completed</t>
        </is>
      </c>
      <c r="N276" t="inlineStr">
        <is>
          <t>Facebook</t>
        </is>
      </c>
    </row>
    <row r="277">
      <c r="A277" t="inlineStr">
        <is>
          <t>ORD00276</t>
        </is>
      </c>
      <c r="B277" s="13" t="n">
        <v>46054</v>
      </c>
      <c r="C277" t="inlineStr">
        <is>
          <t>C006</t>
        </is>
      </c>
      <c r="D277" t="inlineStr">
        <is>
          <t>P011</t>
        </is>
      </c>
      <c r="E277" t="n">
        <v>1</v>
      </c>
      <c r="F277" s="14" t="n">
        <v>1495</v>
      </c>
      <c r="G277" s="14" t="n">
        <v>850</v>
      </c>
      <c r="H277" s="11" t="n">
        <v>0</v>
      </c>
      <c r="I277" s="14" t="n">
        <v>1495</v>
      </c>
      <c r="J277" s="14" t="n">
        <v>850</v>
      </c>
      <c r="K277" s="14" t="n">
        <v>645</v>
      </c>
      <c r="L277" t="inlineStr">
        <is>
          <t>Maya</t>
        </is>
      </c>
      <c r="M277" t="inlineStr">
        <is>
          <t>Completed</t>
        </is>
      </c>
      <c r="N277" t="inlineStr">
        <is>
          <t>TikTok</t>
        </is>
      </c>
    </row>
    <row r="278">
      <c r="A278" t="inlineStr">
        <is>
          <t>ORD00277</t>
        </is>
      </c>
      <c r="B278" s="13" t="n">
        <v>46083</v>
      </c>
      <c r="C278" t="inlineStr">
        <is>
          <t>C012</t>
        </is>
      </c>
      <c r="D278" t="inlineStr">
        <is>
          <t>P011</t>
        </is>
      </c>
      <c r="E278" t="n">
        <v>3</v>
      </c>
      <c r="F278" s="14" t="n">
        <v>1495</v>
      </c>
      <c r="G278" s="14" t="n">
        <v>850</v>
      </c>
      <c r="H278" s="11" t="n">
        <v>0</v>
      </c>
      <c r="I278" s="14" t="n">
        <v>4485</v>
      </c>
      <c r="J278" s="14" t="n">
        <v>2550</v>
      </c>
      <c r="K278" s="14" t="n">
        <v>1935</v>
      </c>
      <c r="L278" t="inlineStr">
        <is>
          <t>Cash</t>
        </is>
      </c>
      <c r="M278" t="inlineStr">
        <is>
          <t>Completed</t>
        </is>
      </c>
      <c r="N278" t="inlineStr">
        <is>
          <t>Facebook</t>
        </is>
      </c>
    </row>
    <row r="279">
      <c r="A279" t="inlineStr">
        <is>
          <t>ORD00278</t>
        </is>
      </c>
      <c r="B279" s="13" t="n">
        <v>46267</v>
      </c>
      <c r="C279" t="inlineStr">
        <is>
          <t>C012</t>
        </is>
      </c>
      <c r="D279" t="inlineStr">
        <is>
          <t>P003</t>
        </is>
      </c>
      <c r="E279" t="n">
        <v>1</v>
      </c>
      <c r="F279" s="14" t="n">
        <v>5995</v>
      </c>
      <c r="G279" s="14" t="n">
        <v>3800</v>
      </c>
      <c r="H279" s="11" t="n">
        <v>0.05</v>
      </c>
      <c r="I279" s="14" t="n">
        <v>5695.25</v>
      </c>
      <c r="J279" s="14" t="n">
        <v>3800</v>
      </c>
      <c r="K279" s="14" t="n">
        <v>1895.25</v>
      </c>
      <c r="L279" t="inlineStr">
        <is>
          <t>Maya</t>
        </is>
      </c>
      <c r="M279" t="inlineStr">
        <is>
          <t>Completed</t>
        </is>
      </c>
      <c r="N279" t="inlineStr">
        <is>
          <t>Walk-in</t>
        </is>
      </c>
    </row>
    <row r="280">
      <c r="A280" t="inlineStr">
        <is>
          <t>ORD00279</t>
        </is>
      </c>
      <c r="B280" s="13" t="n">
        <v>46298</v>
      </c>
      <c r="C280" t="inlineStr">
        <is>
          <t>C022</t>
        </is>
      </c>
      <c r="D280" t="inlineStr">
        <is>
          <t>P011</t>
        </is>
      </c>
      <c r="E280" t="n">
        <v>2</v>
      </c>
      <c r="F280" s="14" t="n">
        <v>1495</v>
      </c>
      <c r="G280" s="14" t="n">
        <v>850</v>
      </c>
      <c r="H280" s="11" t="n">
        <v>0</v>
      </c>
      <c r="I280" s="14" t="n">
        <v>2990</v>
      </c>
      <c r="J280" s="14" t="n">
        <v>1700</v>
      </c>
      <c r="K280" s="14" t="n">
        <v>1290</v>
      </c>
      <c r="L280" t="inlineStr">
        <is>
          <t>GCash</t>
        </is>
      </c>
      <c r="M280" t="inlineStr">
        <is>
          <t>Completed</t>
        </is>
      </c>
      <c r="N280" t="inlineStr">
        <is>
          <t>TikTok</t>
        </is>
      </c>
    </row>
    <row r="281">
      <c r="A281" t="inlineStr">
        <is>
          <t>ORD00280</t>
        </is>
      </c>
      <c r="B281" s="13" t="n">
        <v>46062</v>
      </c>
      <c r="C281" t="inlineStr">
        <is>
          <t>C029</t>
        </is>
      </c>
      <c r="D281" t="inlineStr">
        <is>
          <t>P010</t>
        </is>
      </c>
      <c r="E281" t="n">
        <v>1</v>
      </c>
      <c r="F281" s="14" t="n">
        <v>4495</v>
      </c>
      <c r="G281" s="14" t="n">
        <v>2600</v>
      </c>
      <c r="H281" s="11" t="n">
        <v>0.05</v>
      </c>
      <c r="I281" s="14" t="n">
        <v>4270.25</v>
      </c>
      <c r="J281" s="14" t="n">
        <v>2600</v>
      </c>
      <c r="K281" s="14" t="n">
        <v>1670.25</v>
      </c>
      <c r="L281" t="inlineStr">
        <is>
          <t>Cash</t>
        </is>
      </c>
      <c r="M281" t="inlineStr">
        <is>
          <t>Completed</t>
        </is>
      </c>
      <c r="N281" t="inlineStr">
        <is>
          <t>Facebook</t>
        </is>
      </c>
    </row>
    <row r="282">
      <c r="A282" t="inlineStr">
        <is>
          <t>ORD00281</t>
        </is>
      </c>
      <c r="B282" s="13" t="n">
        <v>46107</v>
      </c>
      <c r="C282" t="inlineStr">
        <is>
          <t>C004</t>
        </is>
      </c>
      <c r="D282" t="inlineStr">
        <is>
          <t>P006</t>
        </is>
      </c>
      <c r="E282" t="n">
        <v>2</v>
      </c>
      <c r="F282" s="14" t="n">
        <v>6295</v>
      </c>
      <c r="G282" s="14" t="n">
        <v>3900</v>
      </c>
      <c r="H282" s="11" t="n">
        <v>0.03</v>
      </c>
      <c r="I282" s="14" t="n">
        <v>12212.3</v>
      </c>
      <c r="J282" s="14" t="n">
        <v>7800</v>
      </c>
      <c r="K282" s="14" t="n">
        <v>4412.299999999999</v>
      </c>
      <c r="L282" t="inlineStr">
        <is>
          <t>Cash</t>
        </is>
      </c>
      <c r="M282" t="inlineStr">
        <is>
          <t>Completed</t>
        </is>
      </c>
      <c r="N282" t="inlineStr">
        <is>
          <t>Walk-in</t>
        </is>
      </c>
    </row>
    <row r="283">
      <c r="A283" t="inlineStr">
        <is>
          <t>ORD00282</t>
        </is>
      </c>
      <c r="B283" s="13" t="n">
        <v>46069</v>
      </c>
      <c r="C283" t="inlineStr">
        <is>
          <t>C015</t>
        </is>
      </c>
      <c r="D283" t="inlineStr">
        <is>
          <t>P009</t>
        </is>
      </c>
      <c r="E283" t="n">
        <v>1</v>
      </c>
      <c r="F283" s="14" t="n">
        <v>5795</v>
      </c>
      <c r="G283" s="14" t="n">
        <v>3600</v>
      </c>
      <c r="H283" s="11" t="n">
        <v>0</v>
      </c>
      <c r="I283" s="14" t="n">
        <v>5795</v>
      </c>
      <c r="J283" s="14" t="n">
        <v>3600</v>
      </c>
      <c r="K283" s="14" t="n">
        <v>2195</v>
      </c>
      <c r="L283" t="inlineStr">
        <is>
          <t>Cash</t>
        </is>
      </c>
      <c r="M283" t="inlineStr">
        <is>
          <t>Completed</t>
        </is>
      </c>
      <c r="N283" t="inlineStr">
        <is>
          <t>Walk-in</t>
        </is>
      </c>
    </row>
    <row r="284">
      <c r="A284" t="inlineStr">
        <is>
          <t>ORD00283</t>
        </is>
      </c>
      <c r="B284" s="13" t="n">
        <v>46052</v>
      </c>
      <c r="C284" t="inlineStr">
        <is>
          <t>C024</t>
        </is>
      </c>
      <c r="D284" t="inlineStr">
        <is>
          <t>P009</t>
        </is>
      </c>
      <c r="E284" t="n">
        <v>1</v>
      </c>
      <c r="F284" s="14" t="n">
        <v>5795</v>
      </c>
      <c r="G284" s="14" t="n">
        <v>3600</v>
      </c>
      <c r="H284" s="11" t="n">
        <v>0</v>
      </c>
      <c r="I284" s="14" t="n">
        <v>5795</v>
      </c>
      <c r="J284" s="14" t="n">
        <v>3600</v>
      </c>
      <c r="K284" s="14" t="n">
        <v>2195</v>
      </c>
      <c r="L284" t="inlineStr">
        <is>
          <t>GCash</t>
        </is>
      </c>
      <c r="M284" t="inlineStr">
        <is>
          <t>Completed</t>
        </is>
      </c>
      <c r="N284" t="inlineStr">
        <is>
          <t>Website</t>
        </is>
      </c>
    </row>
    <row r="285">
      <c r="A285" t="inlineStr">
        <is>
          <t>ORD00284</t>
        </is>
      </c>
      <c r="B285" s="13" t="n">
        <v>46134</v>
      </c>
      <c r="C285" t="inlineStr">
        <is>
          <t>C012</t>
        </is>
      </c>
      <c r="D285" t="inlineStr">
        <is>
          <t>P010</t>
        </is>
      </c>
      <c r="E285" t="n">
        <v>1</v>
      </c>
      <c r="F285" s="14" t="n">
        <v>4495</v>
      </c>
      <c r="G285" s="14" t="n">
        <v>2600</v>
      </c>
      <c r="H285" s="11" t="n">
        <v>0.03</v>
      </c>
      <c r="I285" s="14" t="n">
        <v>4360.15</v>
      </c>
      <c r="J285" s="14" t="n">
        <v>2600</v>
      </c>
      <c r="K285" s="14" t="n">
        <v>1760.15</v>
      </c>
      <c r="L285" t="inlineStr">
        <is>
          <t>GCash</t>
        </is>
      </c>
      <c r="M285" t="inlineStr">
        <is>
          <t>Completed</t>
        </is>
      </c>
      <c r="N285" t="inlineStr">
        <is>
          <t>Website</t>
        </is>
      </c>
    </row>
    <row r="286">
      <c r="A286" t="inlineStr">
        <is>
          <t>ORD00285</t>
        </is>
      </c>
      <c r="B286" s="13" t="n">
        <v>46058</v>
      </c>
      <c r="C286" t="inlineStr">
        <is>
          <t>C006</t>
        </is>
      </c>
      <c r="D286" t="inlineStr">
        <is>
          <t>P008</t>
        </is>
      </c>
      <c r="E286" t="n">
        <v>1</v>
      </c>
      <c r="F286" s="14" t="n">
        <v>4595</v>
      </c>
      <c r="G286" s="14" t="n">
        <v>2800</v>
      </c>
      <c r="H286" s="11" t="n">
        <v>0.03</v>
      </c>
      <c r="I286" s="14" t="n">
        <v>4457.15</v>
      </c>
      <c r="J286" s="14" t="n">
        <v>2800</v>
      </c>
      <c r="K286" s="14" t="n">
        <v>1657.15</v>
      </c>
      <c r="L286" t="inlineStr">
        <is>
          <t>Cash</t>
        </is>
      </c>
      <c r="M286" t="inlineStr">
        <is>
          <t>Completed</t>
        </is>
      </c>
      <c r="N286" t="inlineStr">
        <is>
          <t>Walk-in</t>
        </is>
      </c>
    </row>
    <row r="287">
      <c r="A287" t="inlineStr">
        <is>
          <t>ORD00286</t>
        </is>
      </c>
      <c r="B287" s="13" t="n">
        <v>46214</v>
      </c>
      <c r="C287" t="inlineStr">
        <is>
          <t>C013</t>
        </is>
      </c>
      <c r="D287" t="inlineStr">
        <is>
          <t>P007</t>
        </is>
      </c>
      <c r="E287" t="n">
        <v>1</v>
      </c>
      <c r="F287" s="14" t="n">
        <v>5295</v>
      </c>
      <c r="G287" s="14" t="n">
        <v>3300</v>
      </c>
      <c r="H287" s="11" t="n">
        <v>0.03</v>
      </c>
      <c r="I287" s="14" t="n">
        <v>5136.15</v>
      </c>
      <c r="J287" s="14" t="n">
        <v>3300</v>
      </c>
      <c r="K287" s="14" t="n">
        <v>1836.15</v>
      </c>
      <c r="L287" t="inlineStr">
        <is>
          <t>GCash</t>
        </is>
      </c>
      <c r="M287" t="inlineStr">
        <is>
          <t>Completed</t>
        </is>
      </c>
      <c r="N287" t="inlineStr">
        <is>
          <t>Facebook</t>
        </is>
      </c>
    </row>
    <row r="288">
      <c r="A288" t="inlineStr">
        <is>
          <t>ORD00287</t>
        </is>
      </c>
      <c r="B288" s="13" t="n">
        <v>46201</v>
      </c>
      <c r="C288" t="inlineStr">
        <is>
          <t>C013</t>
        </is>
      </c>
      <c r="D288" t="inlineStr">
        <is>
          <t>P002</t>
        </is>
      </c>
      <c r="E288" t="n">
        <v>1</v>
      </c>
      <c r="F288" s="14" t="n">
        <v>5495</v>
      </c>
      <c r="G288" s="14" t="n">
        <v>3500</v>
      </c>
      <c r="H288" s="11" t="n">
        <v>0.05</v>
      </c>
      <c r="I288" s="14" t="n">
        <v>5220.25</v>
      </c>
      <c r="J288" s="14" t="n">
        <v>3500</v>
      </c>
      <c r="K288" s="14" t="n">
        <v>1720.25</v>
      </c>
      <c r="L288" t="inlineStr">
        <is>
          <t>Cash</t>
        </is>
      </c>
      <c r="M288" t="inlineStr">
        <is>
          <t>Completed</t>
        </is>
      </c>
      <c r="N288" t="inlineStr">
        <is>
          <t>Facebook</t>
        </is>
      </c>
    </row>
    <row r="289">
      <c r="A289" t="inlineStr">
        <is>
          <t>ORD00288</t>
        </is>
      </c>
      <c r="B289" s="13" t="n">
        <v>46024</v>
      </c>
      <c r="C289" t="inlineStr">
        <is>
          <t>C022</t>
        </is>
      </c>
      <c r="D289" t="inlineStr">
        <is>
          <t>P001</t>
        </is>
      </c>
      <c r="E289" t="n">
        <v>4</v>
      </c>
      <c r="F289" s="14" t="n">
        <v>4995</v>
      </c>
      <c r="G289" s="14" t="n">
        <v>3200</v>
      </c>
      <c r="H289" s="11" t="n">
        <v>0.03</v>
      </c>
      <c r="I289" s="14" t="n">
        <v>19380.6</v>
      </c>
      <c r="J289" s="14" t="n">
        <v>12800</v>
      </c>
      <c r="K289" s="14" t="n">
        <v>6580.599999999999</v>
      </c>
      <c r="L289" t="inlineStr">
        <is>
          <t>Maya</t>
        </is>
      </c>
      <c r="M289" t="inlineStr">
        <is>
          <t>Completed</t>
        </is>
      </c>
      <c r="N289" t="inlineStr">
        <is>
          <t>Facebook</t>
        </is>
      </c>
    </row>
    <row r="290">
      <c r="A290" t="inlineStr">
        <is>
          <t>ORD00289</t>
        </is>
      </c>
      <c r="B290" s="13" t="n">
        <v>46149</v>
      </c>
      <c r="C290" t="inlineStr">
        <is>
          <t>C007</t>
        </is>
      </c>
      <c r="D290" t="inlineStr">
        <is>
          <t>P008</t>
        </is>
      </c>
      <c r="E290" t="n">
        <v>1</v>
      </c>
      <c r="F290" s="14" t="n">
        <v>4595</v>
      </c>
      <c r="G290" s="14" t="n">
        <v>2800</v>
      </c>
      <c r="H290" s="11" t="n">
        <v>0</v>
      </c>
      <c r="I290" s="14" t="n">
        <v>4595</v>
      </c>
      <c r="J290" s="14" t="n">
        <v>2800</v>
      </c>
      <c r="K290" s="14" t="n">
        <v>1795</v>
      </c>
      <c r="L290" t="inlineStr">
        <is>
          <t>GCash</t>
        </is>
      </c>
      <c r="M290" t="inlineStr">
        <is>
          <t>Completed</t>
        </is>
      </c>
      <c r="N290" t="inlineStr">
        <is>
          <t>Walk-in</t>
        </is>
      </c>
    </row>
    <row r="291">
      <c r="A291" t="inlineStr">
        <is>
          <t>ORD00290</t>
        </is>
      </c>
      <c r="B291" s="13" t="n">
        <v>46031</v>
      </c>
      <c r="C291" t="inlineStr">
        <is>
          <t>C020</t>
        </is>
      </c>
      <c r="D291" t="inlineStr">
        <is>
          <t>P004</t>
        </is>
      </c>
      <c r="E291" t="n">
        <v>1</v>
      </c>
      <c r="F291" s="14" t="n">
        <v>3995</v>
      </c>
      <c r="G291" s="14" t="n">
        <v>2200</v>
      </c>
      <c r="H291" s="11" t="n">
        <v>0</v>
      </c>
      <c r="I291" s="14" t="n">
        <v>3995</v>
      </c>
      <c r="J291" s="14" t="n">
        <v>2200</v>
      </c>
      <c r="K291" s="14" t="n">
        <v>1795</v>
      </c>
      <c r="L291" t="inlineStr">
        <is>
          <t>GCash</t>
        </is>
      </c>
      <c r="M291" t="inlineStr">
        <is>
          <t>Completed</t>
        </is>
      </c>
      <c r="N291" t="inlineStr">
        <is>
          <t>Website</t>
        </is>
      </c>
    </row>
    <row r="292">
      <c r="A292" t="inlineStr">
        <is>
          <t>ORD00291</t>
        </is>
      </c>
      <c r="B292" s="13" t="n">
        <v>46148</v>
      </c>
      <c r="C292" t="inlineStr">
        <is>
          <t>C008</t>
        </is>
      </c>
      <c r="D292" t="inlineStr">
        <is>
          <t>P012</t>
        </is>
      </c>
      <c r="E292" t="n">
        <v>1</v>
      </c>
      <c r="F292" s="14" t="n">
        <v>1595</v>
      </c>
      <c r="G292" s="14" t="n">
        <v>900</v>
      </c>
      <c r="H292" s="11" t="n">
        <v>0.03</v>
      </c>
      <c r="I292" s="14" t="n">
        <v>1547.15</v>
      </c>
      <c r="J292" s="14" t="n">
        <v>900</v>
      </c>
      <c r="K292" s="14" t="n">
        <v>647.1499999999999</v>
      </c>
      <c r="L292" t="inlineStr">
        <is>
          <t>Cash</t>
        </is>
      </c>
      <c r="M292" t="inlineStr">
        <is>
          <t>Completed</t>
        </is>
      </c>
      <c r="N292" t="inlineStr">
        <is>
          <t>Website</t>
        </is>
      </c>
    </row>
    <row r="293">
      <c r="A293" t="inlineStr">
        <is>
          <t>ORD00292</t>
        </is>
      </c>
      <c r="B293" s="13" t="n">
        <v>46094</v>
      </c>
      <c r="C293" t="inlineStr">
        <is>
          <t>C027</t>
        </is>
      </c>
      <c r="D293" t="inlineStr">
        <is>
          <t>P009</t>
        </is>
      </c>
      <c r="E293" t="n">
        <v>4</v>
      </c>
      <c r="F293" s="14" t="n">
        <v>5795</v>
      </c>
      <c r="G293" s="14" t="n">
        <v>3600</v>
      </c>
      <c r="H293" s="11" t="n">
        <v>0</v>
      </c>
      <c r="I293" s="14" t="n">
        <v>23180</v>
      </c>
      <c r="J293" s="14" t="n">
        <v>14400</v>
      </c>
      <c r="K293" s="14" t="n">
        <v>8780</v>
      </c>
      <c r="L293" t="inlineStr">
        <is>
          <t>Card</t>
        </is>
      </c>
      <c r="M293" t="inlineStr">
        <is>
          <t>Completed</t>
        </is>
      </c>
      <c r="N293" t="inlineStr">
        <is>
          <t>TikTok</t>
        </is>
      </c>
    </row>
    <row r="294">
      <c r="A294" t="inlineStr">
        <is>
          <t>ORD00293</t>
        </is>
      </c>
      <c r="B294" s="13" t="n">
        <v>46144</v>
      </c>
      <c r="C294" t="inlineStr">
        <is>
          <t>C017</t>
        </is>
      </c>
      <c r="D294" t="inlineStr">
        <is>
          <t>P005</t>
        </is>
      </c>
      <c r="E294" t="n">
        <v>3</v>
      </c>
      <c r="F294" s="14" t="n">
        <v>3695</v>
      </c>
      <c r="G294" s="14" t="n">
        <v>2100</v>
      </c>
      <c r="H294" s="11" t="n">
        <v>0.1</v>
      </c>
      <c r="I294" s="14" t="n">
        <v>9976.5</v>
      </c>
      <c r="J294" s="14" t="n">
        <v>6300</v>
      </c>
      <c r="K294" s="14" t="n">
        <v>3676.5</v>
      </c>
      <c r="L294" t="inlineStr">
        <is>
          <t>Cash</t>
        </is>
      </c>
      <c r="M294" t="inlineStr">
        <is>
          <t>Completed</t>
        </is>
      </c>
      <c r="N294" t="inlineStr">
        <is>
          <t>TikTok</t>
        </is>
      </c>
    </row>
    <row r="295">
      <c r="A295" t="inlineStr">
        <is>
          <t>ORD00294</t>
        </is>
      </c>
      <c r="B295" s="13" t="n">
        <v>46054</v>
      </c>
      <c r="C295" t="inlineStr">
        <is>
          <t>C030</t>
        </is>
      </c>
      <c r="D295" t="inlineStr">
        <is>
          <t>P009</t>
        </is>
      </c>
      <c r="E295" t="n">
        <v>3</v>
      </c>
      <c r="F295" s="14" t="n">
        <v>5795</v>
      </c>
      <c r="G295" s="14" t="n">
        <v>3600</v>
      </c>
      <c r="H295" s="11" t="n">
        <v>0.1</v>
      </c>
      <c r="I295" s="14" t="n">
        <v>15646.5</v>
      </c>
      <c r="J295" s="14" t="n">
        <v>10800</v>
      </c>
      <c r="K295" s="14" t="n">
        <v>4846.5</v>
      </c>
      <c r="L295" t="inlineStr">
        <is>
          <t>Cash</t>
        </is>
      </c>
      <c r="M295" t="inlineStr">
        <is>
          <t>Completed</t>
        </is>
      </c>
      <c r="N295" t="inlineStr">
        <is>
          <t>Walk-in</t>
        </is>
      </c>
    </row>
    <row r="296">
      <c r="A296" t="inlineStr">
        <is>
          <t>ORD00295</t>
        </is>
      </c>
      <c r="B296" s="13" t="n">
        <v>46276</v>
      </c>
      <c r="C296" t="inlineStr">
        <is>
          <t>C022</t>
        </is>
      </c>
      <c r="D296" t="inlineStr">
        <is>
          <t>P001</t>
        </is>
      </c>
      <c r="E296" t="n">
        <v>4</v>
      </c>
      <c r="F296" s="14" t="n">
        <v>4995</v>
      </c>
      <c r="G296" s="14" t="n">
        <v>3200</v>
      </c>
      <c r="H296" s="11" t="n">
        <v>0.1</v>
      </c>
      <c r="I296" s="14" t="n">
        <v>17982</v>
      </c>
      <c r="J296" s="14" t="n">
        <v>12800</v>
      </c>
      <c r="K296" s="14" t="n">
        <v>5182</v>
      </c>
      <c r="L296" t="inlineStr">
        <is>
          <t>Maya</t>
        </is>
      </c>
      <c r="M296" t="inlineStr">
        <is>
          <t>Completed</t>
        </is>
      </c>
      <c r="N296" t="inlineStr">
        <is>
          <t>TikTok</t>
        </is>
      </c>
    </row>
    <row r="297">
      <c r="A297" t="inlineStr">
        <is>
          <t>ORD00296</t>
        </is>
      </c>
      <c r="B297" s="13" t="n">
        <v>46236</v>
      </c>
      <c r="C297" t="inlineStr">
        <is>
          <t>C006</t>
        </is>
      </c>
      <c r="D297" t="inlineStr">
        <is>
          <t>P007</t>
        </is>
      </c>
      <c r="E297" t="n">
        <v>1</v>
      </c>
      <c r="F297" s="14" t="n">
        <v>5295</v>
      </c>
      <c r="G297" s="14" t="n">
        <v>3300</v>
      </c>
      <c r="H297" s="11" t="n">
        <v>0.03</v>
      </c>
      <c r="I297" s="14" t="n">
        <v>5136.15</v>
      </c>
      <c r="J297" s="14" t="n">
        <v>3300</v>
      </c>
      <c r="K297" s="14" t="n">
        <v>1836.15</v>
      </c>
      <c r="L297" t="inlineStr">
        <is>
          <t>Maya</t>
        </is>
      </c>
      <c r="M297" t="inlineStr">
        <is>
          <t>Completed</t>
        </is>
      </c>
      <c r="N297" t="inlineStr">
        <is>
          <t>Facebook</t>
        </is>
      </c>
    </row>
    <row r="298">
      <c r="A298" t="inlineStr">
        <is>
          <t>ORD00297</t>
        </is>
      </c>
      <c r="B298" s="13" t="n">
        <v>46176</v>
      </c>
      <c r="C298" t="inlineStr">
        <is>
          <t>C030</t>
        </is>
      </c>
      <c r="D298" t="inlineStr">
        <is>
          <t>P012</t>
        </is>
      </c>
      <c r="E298" t="n">
        <v>1</v>
      </c>
      <c r="F298" s="14" t="n">
        <v>1595</v>
      </c>
      <c r="G298" s="14" t="n">
        <v>900</v>
      </c>
      <c r="H298" s="11" t="n">
        <v>0.03</v>
      </c>
      <c r="I298" s="14" t="n">
        <v>1547.15</v>
      </c>
      <c r="J298" s="14" t="n">
        <v>900</v>
      </c>
      <c r="K298" s="14" t="n">
        <v>647.1499999999999</v>
      </c>
      <c r="L298" t="inlineStr">
        <is>
          <t>GCash</t>
        </is>
      </c>
      <c r="M298" t="inlineStr">
        <is>
          <t>Completed</t>
        </is>
      </c>
      <c r="N298" t="inlineStr">
        <is>
          <t>Walk-in</t>
        </is>
      </c>
    </row>
    <row r="299">
      <c r="A299" t="inlineStr">
        <is>
          <t>ORD00298</t>
        </is>
      </c>
      <c r="B299" s="13" t="n">
        <v>46294</v>
      </c>
      <c r="C299" t="inlineStr">
        <is>
          <t>C007</t>
        </is>
      </c>
      <c r="D299" t="inlineStr">
        <is>
          <t>P003</t>
        </is>
      </c>
      <c r="E299" t="n">
        <v>1</v>
      </c>
      <c r="F299" s="14" t="n">
        <v>5995</v>
      </c>
      <c r="G299" s="14" t="n">
        <v>3800</v>
      </c>
      <c r="H299" s="11" t="n">
        <v>0</v>
      </c>
      <c r="I299" s="14" t="n">
        <v>5995</v>
      </c>
      <c r="J299" s="14" t="n">
        <v>3800</v>
      </c>
      <c r="K299" s="14" t="n">
        <v>2195</v>
      </c>
      <c r="L299" t="inlineStr">
        <is>
          <t>Card</t>
        </is>
      </c>
      <c r="M299" t="inlineStr">
        <is>
          <t>Completed</t>
        </is>
      </c>
      <c r="N299" t="inlineStr">
        <is>
          <t>Walk-in</t>
        </is>
      </c>
    </row>
    <row r="300">
      <c r="A300" t="inlineStr">
        <is>
          <t>ORD00299</t>
        </is>
      </c>
      <c r="B300" s="13" t="n">
        <v>46212</v>
      </c>
      <c r="C300" t="inlineStr">
        <is>
          <t>C002</t>
        </is>
      </c>
      <c r="D300" t="inlineStr">
        <is>
          <t>P002</t>
        </is>
      </c>
      <c r="E300" t="n">
        <v>1</v>
      </c>
      <c r="F300" s="14" t="n">
        <v>5495</v>
      </c>
      <c r="G300" s="14" t="n">
        <v>3500</v>
      </c>
      <c r="H300" s="11" t="n">
        <v>0</v>
      </c>
      <c r="I300" s="14" t="n">
        <v>5495</v>
      </c>
      <c r="J300" s="14" t="n">
        <v>3500</v>
      </c>
      <c r="K300" s="14" t="n">
        <v>1995</v>
      </c>
      <c r="L300" t="inlineStr">
        <is>
          <t>Card</t>
        </is>
      </c>
      <c r="M300" t="inlineStr">
        <is>
          <t>Completed</t>
        </is>
      </c>
      <c r="N300" t="inlineStr">
        <is>
          <t>Website</t>
        </is>
      </c>
    </row>
    <row r="301">
      <c r="A301" t="inlineStr">
        <is>
          <t>ORD00300</t>
        </is>
      </c>
      <c r="B301" s="13" t="n">
        <v>46060</v>
      </c>
      <c r="C301" t="inlineStr">
        <is>
          <t>C024</t>
        </is>
      </c>
      <c r="D301" t="inlineStr">
        <is>
          <t>P004</t>
        </is>
      </c>
      <c r="E301" t="n">
        <v>2</v>
      </c>
      <c r="F301" s="14" t="n">
        <v>3995</v>
      </c>
      <c r="G301" s="14" t="n">
        <v>2200</v>
      </c>
      <c r="H301" s="11" t="n">
        <v>0.05</v>
      </c>
      <c r="I301" s="14" t="n">
        <v>7590.5</v>
      </c>
      <c r="J301" s="14" t="n">
        <v>4400</v>
      </c>
      <c r="K301" s="14" t="n">
        <v>3190.5</v>
      </c>
      <c r="L301" t="inlineStr">
        <is>
          <t>Cash</t>
        </is>
      </c>
      <c r="M301" t="inlineStr">
        <is>
          <t>Completed</t>
        </is>
      </c>
      <c r="N301" t="inlineStr">
        <is>
          <t>TikTok</t>
        </is>
      </c>
    </row>
    <row r="302">
      <c r="A302" t="inlineStr">
        <is>
          <t>ORD00301</t>
        </is>
      </c>
      <c r="B302" s="13" t="n">
        <v>46178</v>
      </c>
      <c r="C302" t="inlineStr">
        <is>
          <t>C024</t>
        </is>
      </c>
      <c r="D302" t="inlineStr">
        <is>
          <t>P001</t>
        </is>
      </c>
      <c r="E302" t="n">
        <v>1</v>
      </c>
      <c r="F302" s="14" t="n">
        <v>4995</v>
      </c>
      <c r="G302" s="14" t="n">
        <v>3200</v>
      </c>
      <c r="H302" s="11" t="n">
        <v>0</v>
      </c>
      <c r="I302" s="14" t="n">
        <v>4995</v>
      </c>
      <c r="J302" s="14" t="n">
        <v>3200</v>
      </c>
      <c r="K302" s="14" t="n">
        <v>1795</v>
      </c>
      <c r="L302" t="inlineStr">
        <is>
          <t>GCash</t>
        </is>
      </c>
      <c r="M302" t="inlineStr">
        <is>
          <t>Completed</t>
        </is>
      </c>
      <c r="N302" t="inlineStr">
        <is>
          <t>Walk-in</t>
        </is>
      </c>
    </row>
    <row r="303">
      <c r="A303" t="inlineStr">
        <is>
          <t>ORD00302</t>
        </is>
      </c>
      <c r="B303" s="13" t="n">
        <v>46147</v>
      </c>
      <c r="C303" t="inlineStr">
        <is>
          <t>C013</t>
        </is>
      </c>
      <c r="D303" t="inlineStr">
        <is>
          <t>P012</t>
        </is>
      </c>
      <c r="E303" t="n">
        <v>2</v>
      </c>
      <c r="F303" s="14" t="n">
        <v>1595</v>
      </c>
      <c r="G303" s="14" t="n">
        <v>900</v>
      </c>
      <c r="H303" s="11" t="n">
        <v>0</v>
      </c>
      <c r="I303" s="14" t="n">
        <v>3190</v>
      </c>
      <c r="J303" s="14" t="n">
        <v>1800</v>
      </c>
      <c r="K303" s="14" t="n">
        <v>1390</v>
      </c>
      <c r="L303" t="inlineStr">
        <is>
          <t>Cash</t>
        </is>
      </c>
      <c r="M303" t="inlineStr">
        <is>
          <t>Completed</t>
        </is>
      </c>
      <c r="N303" t="inlineStr">
        <is>
          <t>TikTok</t>
        </is>
      </c>
    </row>
    <row r="304">
      <c r="A304" t="inlineStr">
        <is>
          <t>ORD00303</t>
        </is>
      </c>
      <c r="B304" s="13" t="n">
        <v>46217</v>
      </c>
      <c r="C304" t="inlineStr">
        <is>
          <t>C010</t>
        </is>
      </c>
      <c r="D304" t="inlineStr">
        <is>
          <t>P008</t>
        </is>
      </c>
      <c r="E304" t="n">
        <v>1</v>
      </c>
      <c r="F304" s="14" t="n">
        <v>4595</v>
      </c>
      <c r="G304" s="14" t="n">
        <v>2800</v>
      </c>
      <c r="H304" s="11" t="n">
        <v>0</v>
      </c>
      <c r="I304" s="14" t="n">
        <v>4595</v>
      </c>
      <c r="J304" s="14" t="n">
        <v>2800</v>
      </c>
      <c r="K304" s="14" t="n">
        <v>1795</v>
      </c>
      <c r="L304" t="inlineStr">
        <is>
          <t>Card</t>
        </is>
      </c>
      <c r="M304" t="inlineStr">
        <is>
          <t>Completed</t>
        </is>
      </c>
      <c r="N304" t="inlineStr">
        <is>
          <t>Walk-in</t>
        </is>
      </c>
    </row>
    <row r="305">
      <c r="A305" t="inlineStr">
        <is>
          <t>ORD00304</t>
        </is>
      </c>
      <c r="B305" s="13" t="n">
        <v>46261</v>
      </c>
      <c r="C305" t="inlineStr">
        <is>
          <t>C016</t>
        </is>
      </c>
      <c r="D305" t="inlineStr">
        <is>
          <t>P002</t>
        </is>
      </c>
      <c r="E305" t="n">
        <v>2</v>
      </c>
      <c r="F305" s="14" t="n">
        <v>5495</v>
      </c>
      <c r="G305" s="14" t="n">
        <v>3500</v>
      </c>
      <c r="H305" s="11" t="n">
        <v>0.1</v>
      </c>
      <c r="I305" s="14" t="n">
        <v>9891</v>
      </c>
      <c r="J305" s="14" t="n">
        <v>7000</v>
      </c>
      <c r="K305" s="14" t="n">
        <v>2891</v>
      </c>
      <c r="L305" t="inlineStr">
        <is>
          <t>Card</t>
        </is>
      </c>
      <c r="M305" t="inlineStr">
        <is>
          <t>Completed</t>
        </is>
      </c>
      <c r="N305" t="inlineStr">
        <is>
          <t>TikTok</t>
        </is>
      </c>
    </row>
    <row r="306">
      <c r="A306" t="inlineStr">
        <is>
          <t>ORD00305</t>
        </is>
      </c>
      <c r="B306" s="13" t="n">
        <v>46183</v>
      </c>
      <c r="C306" t="inlineStr">
        <is>
          <t>C024</t>
        </is>
      </c>
      <c r="D306" t="inlineStr">
        <is>
          <t>P007</t>
        </is>
      </c>
      <c r="E306" t="n">
        <v>1</v>
      </c>
      <c r="F306" s="14" t="n">
        <v>5295</v>
      </c>
      <c r="G306" s="14" t="n">
        <v>3300</v>
      </c>
      <c r="H306" s="11" t="n">
        <v>0</v>
      </c>
      <c r="I306" s="14" t="n">
        <v>5295</v>
      </c>
      <c r="J306" s="14" t="n">
        <v>3300</v>
      </c>
      <c r="K306" s="14" t="n">
        <v>1995</v>
      </c>
      <c r="L306" t="inlineStr">
        <is>
          <t>Cash</t>
        </is>
      </c>
      <c r="M306" t="inlineStr">
        <is>
          <t>Completed</t>
        </is>
      </c>
      <c r="N306" t="inlineStr">
        <is>
          <t>Walk-in</t>
        </is>
      </c>
    </row>
    <row r="307">
      <c r="A307" t="inlineStr">
        <is>
          <t>ORD00306</t>
        </is>
      </c>
      <c r="B307" s="13" t="n">
        <v>46174</v>
      </c>
      <c r="C307" t="inlineStr">
        <is>
          <t>C013</t>
        </is>
      </c>
      <c r="D307" t="inlineStr">
        <is>
          <t>P003</t>
        </is>
      </c>
      <c r="E307" t="n">
        <v>1</v>
      </c>
      <c r="F307" s="14" t="n">
        <v>5995</v>
      </c>
      <c r="G307" s="14" t="n">
        <v>3800</v>
      </c>
      <c r="H307" s="11" t="n">
        <v>0</v>
      </c>
      <c r="I307" s="14" t="n">
        <v>5995</v>
      </c>
      <c r="J307" s="14" t="n">
        <v>3800</v>
      </c>
      <c r="K307" s="14" t="n">
        <v>2195</v>
      </c>
      <c r="L307" t="inlineStr">
        <is>
          <t>Cash</t>
        </is>
      </c>
      <c r="M307" t="inlineStr">
        <is>
          <t>Completed</t>
        </is>
      </c>
      <c r="N307" t="inlineStr">
        <is>
          <t>TikTok</t>
        </is>
      </c>
    </row>
    <row r="308">
      <c r="A308" t="inlineStr">
        <is>
          <t>ORD00307</t>
        </is>
      </c>
      <c r="B308" s="13" t="n">
        <v>46154</v>
      </c>
      <c r="C308" t="inlineStr">
        <is>
          <t>C024</t>
        </is>
      </c>
      <c r="D308" t="inlineStr">
        <is>
          <t>P008</t>
        </is>
      </c>
      <c r="E308" t="n">
        <v>3</v>
      </c>
      <c r="F308" s="14" t="n">
        <v>4595</v>
      </c>
      <c r="G308" s="14" t="n">
        <v>2800</v>
      </c>
      <c r="H308" s="11" t="n">
        <v>0.1</v>
      </c>
      <c r="I308" s="14" t="n">
        <v>12406.5</v>
      </c>
      <c r="J308" s="14" t="n">
        <v>8400</v>
      </c>
      <c r="K308" s="14" t="n">
        <v>4006.5</v>
      </c>
      <c r="L308" t="inlineStr">
        <is>
          <t>Maya</t>
        </is>
      </c>
      <c r="M308" t="inlineStr">
        <is>
          <t>Completed</t>
        </is>
      </c>
      <c r="N308" t="inlineStr">
        <is>
          <t>TikTok</t>
        </is>
      </c>
    </row>
    <row r="309">
      <c r="A309" t="inlineStr">
        <is>
          <t>ORD00308</t>
        </is>
      </c>
      <c r="B309" s="13" t="n">
        <v>46109</v>
      </c>
      <c r="C309" t="inlineStr">
        <is>
          <t>C006</t>
        </is>
      </c>
      <c r="D309" t="inlineStr">
        <is>
          <t>P003</t>
        </is>
      </c>
      <c r="E309" t="n">
        <v>2</v>
      </c>
      <c r="F309" s="14" t="n">
        <v>5995</v>
      </c>
      <c r="G309" s="14" t="n">
        <v>3800</v>
      </c>
      <c r="H309" s="11" t="n">
        <v>0.03</v>
      </c>
      <c r="I309" s="14" t="n">
        <v>11630.3</v>
      </c>
      <c r="J309" s="14" t="n">
        <v>7600</v>
      </c>
      <c r="K309" s="14" t="n">
        <v>4030.299999999999</v>
      </c>
      <c r="L309" t="inlineStr">
        <is>
          <t>GCash</t>
        </is>
      </c>
      <c r="M309" t="inlineStr">
        <is>
          <t>Completed</t>
        </is>
      </c>
      <c r="N309" t="inlineStr">
        <is>
          <t>Website</t>
        </is>
      </c>
    </row>
    <row r="310">
      <c r="A310" t="inlineStr">
        <is>
          <t>ORD00309</t>
        </is>
      </c>
      <c r="B310" s="13" t="n">
        <v>46047</v>
      </c>
      <c r="C310" t="inlineStr">
        <is>
          <t>C008</t>
        </is>
      </c>
      <c r="D310" t="inlineStr">
        <is>
          <t>P001</t>
        </is>
      </c>
      <c r="E310" t="n">
        <v>1</v>
      </c>
      <c r="F310" s="14" t="n">
        <v>4995</v>
      </c>
      <c r="G310" s="14" t="n">
        <v>3200</v>
      </c>
      <c r="H310" s="11" t="n">
        <v>0.1</v>
      </c>
      <c r="I310" s="14" t="n">
        <v>4495.5</v>
      </c>
      <c r="J310" s="14" t="n">
        <v>3200</v>
      </c>
      <c r="K310" s="14" t="n">
        <v>1295.5</v>
      </c>
      <c r="L310" t="inlineStr">
        <is>
          <t>GCash</t>
        </is>
      </c>
      <c r="M310" t="inlineStr">
        <is>
          <t>Completed</t>
        </is>
      </c>
      <c r="N310" t="inlineStr">
        <is>
          <t>Website</t>
        </is>
      </c>
    </row>
    <row r="311">
      <c r="A311" t="inlineStr">
        <is>
          <t>ORD00310</t>
        </is>
      </c>
      <c r="B311" s="13" t="n">
        <v>46134</v>
      </c>
      <c r="C311" t="inlineStr">
        <is>
          <t>C020</t>
        </is>
      </c>
      <c r="D311" t="inlineStr">
        <is>
          <t>P009</t>
        </is>
      </c>
      <c r="E311" t="n">
        <v>1</v>
      </c>
      <c r="F311" s="14" t="n">
        <v>5795</v>
      </c>
      <c r="G311" s="14" t="n">
        <v>3600</v>
      </c>
      <c r="H311" s="11" t="n">
        <v>0</v>
      </c>
      <c r="I311" s="14" t="n">
        <v>5795</v>
      </c>
      <c r="J311" s="14" t="n">
        <v>3600</v>
      </c>
      <c r="K311" s="14" t="n">
        <v>2195</v>
      </c>
      <c r="L311" t="inlineStr">
        <is>
          <t>Maya</t>
        </is>
      </c>
      <c r="M311" t="inlineStr">
        <is>
          <t>Completed</t>
        </is>
      </c>
      <c r="N311" t="inlineStr">
        <is>
          <t>Website</t>
        </is>
      </c>
    </row>
    <row r="312">
      <c r="A312" t="inlineStr">
        <is>
          <t>ORD00311</t>
        </is>
      </c>
      <c r="B312" s="13" t="n">
        <v>46026</v>
      </c>
      <c r="C312" t="inlineStr">
        <is>
          <t>C001</t>
        </is>
      </c>
      <c r="D312" t="inlineStr">
        <is>
          <t>P009</t>
        </is>
      </c>
      <c r="E312" t="n">
        <v>1</v>
      </c>
      <c r="F312" s="14" t="n">
        <v>5795</v>
      </c>
      <c r="G312" s="14" t="n">
        <v>3600</v>
      </c>
      <c r="H312" s="11" t="n">
        <v>0</v>
      </c>
      <c r="I312" s="14" t="n">
        <v>5795</v>
      </c>
      <c r="J312" s="14" t="n">
        <v>3600</v>
      </c>
      <c r="K312" s="14" t="n">
        <v>2195</v>
      </c>
      <c r="L312" t="inlineStr">
        <is>
          <t>Card</t>
        </is>
      </c>
      <c r="M312" t="inlineStr">
        <is>
          <t>Completed</t>
        </is>
      </c>
      <c r="N312" t="inlineStr">
        <is>
          <t>TikTok</t>
        </is>
      </c>
    </row>
    <row r="313">
      <c r="A313" t="inlineStr">
        <is>
          <t>ORD00312</t>
        </is>
      </c>
      <c r="B313" s="13" t="n">
        <v>46031</v>
      </c>
      <c r="C313" t="inlineStr">
        <is>
          <t>C014</t>
        </is>
      </c>
      <c r="D313" t="inlineStr">
        <is>
          <t>P009</t>
        </is>
      </c>
      <c r="E313" t="n">
        <v>2</v>
      </c>
      <c r="F313" s="14" t="n">
        <v>5795</v>
      </c>
      <c r="G313" s="14" t="n">
        <v>3600</v>
      </c>
      <c r="H313" s="11" t="n">
        <v>0.1</v>
      </c>
      <c r="I313" s="14" t="n">
        <v>10431</v>
      </c>
      <c r="J313" s="14" t="n">
        <v>7200</v>
      </c>
      <c r="K313" s="14" t="n">
        <v>3231</v>
      </c>
      <c r="L313" t="inlineStr">
        <is>
          <t>Cash</t>
        </is>
      </c>
      <c r="M313" t="inlineStr">
        <is>
          <t>Completed</t>
        </is>
      </c>
      <c r="N313" t="inlineStr">
        <is>
          <t>Website</t>
        </is>
      </c>
    </row>
    <row r="314">
      <c r="A314" t="inlineStr">
        <is>
          <t>ORD00313</t>
        </is>
      </c>
      <c r="B314" s="13" t="n">
        <v>46291</v>
      </c>
      <c r="C314" t="inlineStr">
        <is>
          <t>C017</t>
        </is>
      </c>
      <c r="D314" t="inlineStr">
        <is>
          <t>P003</t>
        </is>
      </c>
      <c r="E314" t="n">
        <v>1</v>
      </c>
      <c r="F314" s="14" t="n">
        <v>5995</v>
      </c>
      <c r="G314" s="14" t="n">
        <v>3800</v>
      </c>
      <c r="H314" s="11" t="n">
        <v>0.05</v>
      </c>
      <c r="I314" s="14" t="n">
        <v>5695.25</v>
      </c>
      <c r="J314" s="14" t="n">
        <v>3800</v>
      </c>
      <c r="K314" s="14" t="n">
        <v>1895.25</v>
      </c>
      <c r="L314" t="inlineStr">
        <is>
          <t>Card</t>
        </is>
      </c>
      <c r="M314" t="inlineStr">
        <is>
          <t>Completed</t>
        </is>
      </c>
      <c r="N314" t="inlineStr">
        <is>
          <t>TikTok</t>
        </is>
      </c>
    </row>
    <row r="315">
      <c r="A315" t="inlineStr">
        <is>
          <t>ORD00314</t>
        </is>
      </c>
      <c r="B315" s="13" t="n">
        <v>46226</v>
      </c>
      <c r="C315" t="inlineStr">
        <is>
          <t>C015</t>
        </is>
      </c>
      <c r="D315" t="inlineStr">
        <is>
          <t>P002</t>
        </is>
      </c>
      <c r="E315" t="n">
        <v>1</v>
      </c>
      <c r="F315" s="14" t="n">
        <v>5495</v>
      </c>
      <c r="G315" s="14" t="n">
        <v>3500</v>
      </c>
      <c r="H315" s="11" t="n">
        <v>0.03</v>
      </c>
      <c r="I315" s="14" t="n">
        <v>0</v>
      </c>
      <c r="J315" s="14" t="n">
        <v>0</v>
      </c>
      <c r="K315" s="14" t="n">
        <v>0</v>
      </c>
      <c r="L315" t="inlineStr">
        <is>
          <t>Cash</t>
        </is>
      </c>
      <c r="M315" t="inlineStr">
        <is>
          <t>Cancelled</t>
        </is>
      </c>
      <c r="N315" t="inlineStr">
        <is>
          <t>Facebook</t>
        </is>
      </c>
    </row>
    <row r="316">
      <c r="A316" t="inlineStr">
        <is>
          <t>ORD00315</t>
        </is>
      </c>
      <c r="B316" s="13" t="n">
        <v>46176</v>
      </c>
      <c r="C316" t="inlineStr">
        <is>
          <t>C021</t>
        </is>
      </c>
      <c r="D316" t="inlineStr">
        <is>
          <t>P011</t>
        </is>
      </c>
      <c r="E316" t="n">
        <v>2</v>
      </c>
      <c r="F316" s="14" t="n">
        <v>1495</v>
      </c>
      <c r="G316" s="14" t="n">
        <v>850</v>
      </c>
      <c r="H316" s="11" t="n">
        <v>0</v>
      </c>
      <c r="I316" s="14" t="n">
        <v>2990</v>
      </c>
      <c r="J316" s="14" t="n">
        <v>1700</v>
      </c>
      <c r="K316" s="14" t="n">
        <v>1290</v>
      </c>
      <c r="L316" t="inlineStr">
        <is>
          <t>GCash</t>
        </is>
      </c>
      <c r="M316" t="inlineStr">
        <is>
          <t>Completed</t>
        </is>
      </c>
      <c r="N316" t="inlineStr">
        <is>
          <t>Walk-in</t>
        </is>
      </c>
    </row>
    <row r="317">
      <c r="A317" t="inlineStr">
        <is>
          <t>ORD00316</t>
        </is>
      </c>
      <c r="B317" s="13" t="n">
        <v>46216</v>
      </c>
      <c r="C317" t="inlineStr">
        <is>
          <t>C001</t>
        </is>
      </c>
      <c r="D317" t="inlineStr">
        <is>
          <t>P009</t>
        </is>
      </c>
      <c r="E317" t="n">
        <v>1</v>
      </c>
      <c r="F317" s="14" t="n">
        <v>5795</v>
      </c>
      <c r="G317" s="14" t="n">
        <v>3600</v>
      </c>
      <c r="H317" s="11" t="n">
        <v>0.1</v>
      </c>
      <c r="I317" s="14" t="n">
        <v>5215.5</v>
      </c>
      <c r="J317" s="14" t="n">
        <v>3600</v>
      </c>
      <c r="K317" s="14" t="n">
        <v>1615.5</v>
      </c>
      <c r="L317" t="inlineStr">
        <is>
          <t>Cash</t>
        </is>
      </c>
      <c r="M317" t="inlineStr">
        <is>
          <t>Completed</t>
        </is>
      </c>
      <c r="N317" t="inlineStr">
        <is>
          <t>Walk-in</t>
        </is>
      </c>
    </row>
    <row r="318">
      <c r="A318" t="inlineStr">
        <is>
          <t>ORD00317</t>
        </is>
      </c>
      <c r="B318" s="13" t="n">
        <v>46192</v>
      </c>
      <c r="C318" t="inlineStr">
        <is>
          <t>C029</t>
        </is>
      </c>
      <c r="D318" t="inlineStr">
        <is>
          <t>P010</t>
        </is>
      </c>
      <c r="E318" t="n">
        <v>4</v>
      </c>
      <c r="F318" s="14" t="n">
        <v>4495</v>
      </c>
      <c r="G318" s="14" t="n">
        <v>2600</v>
      </c>
      <c r="H318" s="11" t="n">
        <v>0</v>
      </c>
      <c r="I318" s="14" t="n">
        <v>17980</v>
      </c>
      <c r="J318" s="14" t="n">
        <v>10400</v>
      </c>
      <c r="K318" s="14" t="n">
        <v>7580</v>
      </c>
      <c r="L318" t="inlineStr">
        <is>
          <t>GCash</t>
        </is>
      </c>
      <c r="M318" t="inlineStr">
        <is>
          <t>Completed</t>
        </is>
      </c>
      <c r="N318" t="inlineStr">
        <is>
          <t>Walk-in</t>
        </is>
      </c>
    </row>
    <row r="319">
      <c r="A319" t="inlineStr">
        <is>
          <t>ORD00318</t>
        </is>
      </c>
      <c r="B319" s="13" t="n">
        <v>46161</v>
      </c>
      <c r="C319" t="inlineStr">
        <is>
          <t>C030</t>
        </is>
      </c>
      <c r="D319" t="inlineStr">
        <is>
          <t>P001</t>
        </is>
      </c>
      <c r="E319" t="n">
        <v>3</v>
      </c>
      <c r="F319" s="14" t="n">
        <v>4995</v>
      </c>
      <c r="G319" s="14" t="n">
        <v>3200</v>
      </c>
      <c r="H319" s="11" t="n">
        <v>0.1</v>
      </c>
      <c r="I319" s="14" t="n">
        <v>13486.5</v>
      </c>
      <c r="J319" s="14" t="n">
        <v>9600</v>
      </c>
      <c r="K319" s="14" t="n">
        <v>3886.5</v>
      </c>
      <c r="L319" t="inlineStr">
        <is>
          <t>Card</t>
        </is>
      </c>
      <c r="M319" t="inlineStr">
        <is>
          <t>Completed</t>
        </is>
      </c>
      <c r="N319" t="inlineStr">
        <is>
          <t>Website</t>
        </is>
      </c>
    </row>
    <row r="320">
      <c r="A320" t="inlineStr">
        <is>
          <t>ORD00319</t>
        </is>
      </c>
      <c r="B320" s="13" t="n">
        <v>46114</v>
      </c>
      <c r="C320" t="inlineStr">
        <is>
          <t>C019</t>
        </is>
      </c>
      <c r="D320" t="inlineStr">
        <is>
          <t>P006</t>
        </is>
      </c>
      <c r="E320" t="n">
        <v>1</v>
      </c>
      <c r="F320" s="14" t="n">
        <v>6295</v>
      </c>
      <c r="G320" s="14" t="n">
        <v>3900</v>
      </c>
      <c r="H320" s="11" t="n">
        <v>0</v>
      </c>
      <c r="I320" s="14" t="n">
        <v>6295</v>
      </c>
      <c r="J320" s="14" t="n">
        <v>3900</v>
      </c>
      <c r="K320" s="14" t="n">
        <v>2395</v>
      </c>
      <c r="L320" t="inlineStr">
        <is>
          <t>Cash</t>
        </is>
      </c>
      <c r="M320" t="inlineStr">
        <is>
          <t>Completed</t>
        </is>
      </c>
      <c r="N320" t="inlineStr">
        <is>
          <t>Walk-in</t>
        </is>
      </c>
    </row>
    <row r="321">
      <c r="A321" t="inlineStr">
        <is>
          <t>ORD00320</t>
        </is>
      </c>
      <c r="B321" s="13" t="n">
        <v>46062</v>
      </c>
      <c r="C321" t="inlineStr">
        <is>
          <t>C019</t>
        </is>
      </c>
      <c r="D321" t="inlineStr">
        <is>
          <t>P005</t>
        </is>
      </c>
      <c r="E321" t="n">
        <v>1</v>
      </c>
      <c r="F321" s="14" t="n">
        <v>3695</v>
      </c>
      <c r="G321" s="14" t="n">
        <v>2100</v>
      </c>
      <c r="H321" s="11" t="n">
        <v>0</v>
      </c>
      <c r="I321" s="14" t="n">
        <v>3695</v>
      </c>
      <c r="J321" s="14" t="n">
        <v>2100</v>
      </c>
      <c r="K321" s="14" t="n">
        <v>1595</v>
      </c>
      <c r="L321" t="inlineStr">
        <is>
          <t>Maya</t>
        </is>
      </c>
      <c r="M321" t="inlineStr">
        <is>
          <t>Completed</t>
        </is>
      </c>
      <c r="N321" t="inlineStr">
        <is>
          <t>TikTok</t>
        </is>
      </c>
    </row>
    <row r="322">
      <c r="A322" t="inlineStr">
        <is>
          <t>ORD00321</t>
        </is>
      </c>
      <c r="B322" s="13" t="n">
        <v>46219</v>
      </c>
      <c r="C322" t="inlineStr">
        <is>
          <t>C024</t>
        </is>
      </c>
      <c r="D322" t="inlineStr">
        <is>
          <t>P012</t>
        </is>
      </c>
      <c r="E322" t="n">
        <v>1</v>
      </c>
      <c r="F322" s="14" t="n">
        <v>1595</v>
      </c>
      <c r="G322" s="14" t="n">
        <v>900</v>
      </c>
      <c r="H322" s="11" t="n">
        <v>0.1</v>
      </c>
      <c r="I322" s="14" t="n">
        <v>1435.5</v>
      </c>
      <c r="J322" s="14" t="n">
        <v>900</v>
      </c>
      <c r="K322" s="14" t="n">
        <v>535.5</v>
      </c>
      <c r="L322" t="inlineStr">
        <is>
          <t>GCash</t>
        </is>
      </c>
      <c r="M322" t="inlineStr">
        <is>
          <t>Completed</t>
        </is>
      </c>
      <c r="N322" t="inlineStr">
        <is>
          <t>TikTok</t>
        </is>
      </c>
    </row>
    <row r="323">
      <c r="A323" t="inlineStr">
        <is>
          <t>ORD00322</t>
        </is>
      </c>
      <c r="B323" s="13" t="n">
        <v>46050</v>
      </c>
      <c r="C323" t="inlineStr">
        <is>
          <t>C011</t>
        </is>
      </c>
      <c r="D323" t="inlineStr">
        <is>
          <t>P002</t>
        </is>
      </c>
      <c r="E323" t="n">
        <v>1</v>
      </c>
      <c r="F323" s="14" t="n">
        <v>5495</v>
      </c>
      <c r="G323" s="14" t="n">
        <v>3500</v>
      </c>
      <c r="H323" s="11" t="n">
        <v>0</v>
      </c>
      <c r="I323" s="14" t="n">
        <v>5495</v>
      </c>
      <c r="J323" s="14" t="n">
        <v>3500</v>
      </c>
      <c r="K323" s="14" t="n">
        <v>1995</v>
      </c>
      <c r="L323" t="inlineStr">
        <is>
          <t>Maya</t>
        </is>
      </c>
      <c r="M323" t="inlineStr">
        <is>
          <t>Completed</t>
        </is>
      </c>
      <c r="N323" t="inlineStr">
        <is>
          <t>TikTok</t>
        </is>
      </c>
    </row>
    <row r="324">
      <c r="A324" t="inlineStr">
        <is>
          <t>ORD00323</t>
        </is>
      </c>
      <c r="B324" s="13" t="n">
        <v>46038</v>
      </c>
      <c r="C324" t="inlineStr">
        <is>
          <t>C016</t>
        </is>
      </c>
      <c r="D324" t="inlineStr">
        <is>
          <t>P011</t>
        </is>
      </c>
      <c r="E324" t="n">
        <v>1</v>
      </c>
      <c r="F324" s="14" t="n">
        <v>1495</v>
      </c>
      <c r="G324" s="14" t="n">
        <v>850</v>
      </c>
      <c r="H324" s="11" t="n">
        <v>0.03</v>
      </c>
      <c r="I324" s="14" t="n">
        <v>1450.15</v>
      </c>
      <c r="J324" s="14" t="n">
        <v>850</v>
      </c>
      <c r="K324" s="14" t="n">
        <v>600.1499999999999</v>
      </c>
      <c r="L324" t="inlineStr">
        <is>
          <t>Cash</t>
        </is>
      </c>
      <c r="M324" t="inlineStr">
        <is>
          <t>Completed</t>
        </is>
      </c>
      <c r="N324" t="inlineStr">
        <is>
          <t>Walk-in</t>
        </is>
      </c>
    </row>
    <row r="325">
      <c r="A325" t="inlineStr">
        <is>
          <t>ORD00324</t>
        </is>
      </c>
      <c r="B325" s="13" t="n">
        <v>46244</v>
      </c>
      <c r="C325" t="inlineStr">
        <is>
          <t>C013</t>
        </is>
      </c>
      <c r="D325" t="inlineStr">
        <is>
          <t>P003</t>
        </is>
      </c>
      <c r="E325" t="n">
        <v>2</v>
      </c>
      <c r="F325" s="14" t="n">
        <v>5995</v>
      </c>
      <c r="G325" s="14" t="n">
        <v>3800</v>
      </c>
      <c r="H325" s="11" t="n">
        <v>0.1</v>
      </c>
      <c r="I325" s="14" t="n">
        <v>10791</v>
      </c>
      <c r="J325" s="14" t="n">
        <v>7600</v>
      </c>
      <c r="K325" s="14" t="n">
        <v>3191</v>
      </c>
      <c r="L325" t="inlineStr">
        <is>
          <t>GCash</t>
        </is>
      </c>
      <c r="M325" t="inlineStr">
        <is>
          <t>Completed</t>
        </is>
      </c>
      <c r="N325" t="inlineStr">
        <is>
          <t>TikTok</t>
        </is>
      </c>
    </row>
    <row r="326">
      <c r="A326" t="inlineStr">
        <is>
          <t>ORD00325</t>
        </is>
      </c>
      <c r="B326" s="13" t="n">
        <v>46149</v>
      </c>
      <c r="C326" t="inlineStr">
        <is>
          <t>C005</t>
        </is>
      </c>
      <c r="D326" t="inlineStr">
        <is>
          <t>P012</t>
        </is>
      </c>
      <c r="E326" t="n">
        <v>1</v>
      </c>
      <c r="F326" s="14" t="n">
        <v>1595</v>
      </c>
      <c r="G326" s="14" t="n">
        <v>900</v>
      </c>
      <c r="H326" s="11" t="n">
        <v>0</v>
      </c>
      <c r="I326" s="14" t="n">
        <v>1595</v>
      </c>
      <c r="J326" s="14" t="n">
        <v>900</v>
      </c>
      <c r="K326" s="14" t="n">
        <v>695</v>
      </c>
      <c r="L326" t="inlineStr">
        <is>
          <t>Maya</t>
        </is>
      </c>
      <c r="M326" t="inlineStr">
        <is>
          <t>Completed</t>
        </is>
      </c>
      <c r="N326" t="inlineStr">
        <is>
          <t>Facebook</t>
        </is>
      </c>
    </row>
    <row r="327">
      <c r="A327" t="inlineStr">
        <is>
          <t>ORD00326</t>
        </is>
      </c>
      <c r="B327" s="13" t="n">
        <v>46222</v>
      </c>
      <c r="C327" t="inlineStr">
        <is>
          <t>C001</t>
        </is>
      </c>
      <c r="D327" t="inlineStr">
        <is>
          <t>P006</t>
        </is>
      </c>
      <c r="E327" t="n">
        <v>1</v>
      </c>
      <c r="F327" s="14" t="n">
        <v>6295</v>
      </c>
      <c r="G327" s="14" t="n">
        <v>3900</v>
      </c>
      <c r="H327" s="11" t="n">
        <v>0</v>
      </c>
      <c r="I327" s="14" t="n">
        <v>6295</v>
      </c>
      <c r="J327" s="14" t="n">
        <v>3900</v>
      </c>
      <c r="K327" s="14" t="n">
        <v>2395</v>
      </c>
      <c r="L327" t="inlineStr">
        <is>
          <t>Card</t>
        </is>
      </c>
      <c r="M327" t="inlineStr">
        <is>
          <t>Completed</t>
        </is>
      </c>
      <c r="N327" t="inlineStr">
        <is>
          <t>TikTok</t>
        </is>
      </c>
    </row>
    <row r="328">
      <c r="A328" t="inlineStr">
        <is>
          <t>ORD00327</t>
        </is>
      </c>
      <c r="B328" s="13" t="n">
        <v>46075</v>
      </c>
      <c r="C328" t="inlineStr">
        <is>
          <t>C015</t>
        </is>
      </c>
      <c r="D328" t="inlineStr">
        <is>
          <t>P003</t>
        </is>
      </c>
      <c r="E328" t="n">
        <v>1</v>
      </c>
      <c r="F328" s="14" t="n">
        <v>5995</v>
      </c>
      <c r="G328" s="14" t="n">
        <v>3800</v>
      </c>
      <c r="H328" s="11" t="n">
        <v>0.03</v>
      </c>
      <c r="I328" s="14" t="n">
        <v>5815.15</v>
      </c>
      <c r="J328" s="14" t="n">
        <v>3800</v>
      </c>
      <c r="K328" s="14" t="n">
        <v>2015.15</v>
      </c>
      <c r="L328" t="inlineStr">
        <is>
          <t>Maya</t>
        </is>
      </c>
      <c r="M328" t="inlineStr">
        <is>
          <t>Completed</t>
        </is>
      </c>
      <c r="N328" t="inlineStr">
        <is>
          <t>Website</t>
        </is>
      </c>
    </row>
    <row r="329">
      <c r="A329" t="inlineStr">
        <is>
          <t>ORD00328</t>
        </is>
      </c>
      <c r="B329" s="13" t="n">
        <v>46204</v>
      </c>
      <c r="C329" t="inlineStr">
        <is>
          <t>C026</t>
        </is>
      </c>
      <c r="D329" t="inlineStr">
        <is>
          <t>P009</t>
        </is>
      </c>
      <c r="E329" t="n">
        <v>1</v>
      </c>
      <c r="F329" s="14" t="n">
        <v>5795</v>
      </c>
      <c r="G329" s="14" t="n">
        <v>3600</v>
      </c>
      <c r="H329" s="11" t="n">
        <v>0.05</v>
      </c>
      <c r="I329" s="14" t="n">
        <v>5505.25</v>
      </c>
      <c r="J329" s="14" t="n">
        <v>3600</v>
      </c>
      <c r="K329" s="14" t="n">
        <v>1905.25</v>
      </c>
      <c r="L329" t="inlineStr">
        <is>
          <t>Card</t>
        </is>
      </c>
      <c r="M329" t="inlineStr">
        <is>
          <t>Completed</t>
        </is>
      </c>
      <c r="N329" t="inlineStr">
        <is>
          <t>Website</t>
        </is>
      </c>
    </row>
    <row r="330">
      <c r="A330" t="inlineStr">
        <is>
          <t>ORD00329</t>
        </is>
      </c>
      <c r="B330" s="13" t="n">
        <v>46172</v>
      </c>
      <c r="C330" t="inlineStr">
        <is>
          <t>C024</t>
        </is>
      </c>
      <c r="D330" t="inlineStr">
        <is>
          <t>P007</t>
        </is>
      </c>
      <c r="E330" t="n">
        <v>1</v>
      </c>
      <c r="F330" s="14" t="n">
        <v>5295</v>
      </c>
      <c r="G330" s="14" t="n">
        <v>3300</v>
      </c>
      <c r="H330" s="11" t="n">
        <v>0</v>
      </c>
      <c r="I330" s="14" t="n">
        <v>5295</v>
      </c>
      <c r="J330" s="14" t="n">
        <v>3300</v>
      </c>
      <c r="K330" s="14" t="n">
        <v>1995</v>
      </c>
      <c r="L330" t="inlineStr">
        <is>
          <t>Cash</t>
        </is>
      </c>
      <c r="M330" t="inlineStr">
        <is>
          <t>Completed</t>
        </is>
      </c>
      <c r="N330" t="inlineStr">
        <is>
          <t>Facebook</t>
        </is>
      </c>
    </row>
    <row r="331">
      <c r="A331" t="inlineStr">
        <is>
          <t>ORD00330</t>
        </is>
      </c>
      <c r="B331" s="13" t="n">
        <v>46217</v>
      </c>
      <c r="C331" t="inlineStr">
        <is>
          <t>C009</t>
        </is>
      </c>
      <c r="D331" t="inlineStr">
        <is>
          <t>P003</t>
        </is>
      </c>
      <c r="E331" t="n">
        <v>1</v>
      </c>
      <c r="F331" s="14" t="n">
        <v>5995</v>
      </c>
      <c r="G331" s="14" t="n">
        <v>3800</v>
      </c>
      <c r="H331" s="11" t="n">
        <v>0</v>
      </c>
      <c r="I331" s="14" t="n">
        <v>5995</v>
      </c>
      <c r="J331" s="14" t="n">
        <v>3800</v>
      </c>
      <c r="K331" s="14" t="n">
        <v>2195</v>
      </c>
      <c r="L331" t="inlineStr">
        <is>
          <t>Maya</t>
        </is>
      </c>
      <c r="M331" t="inlineStr">
        <is>
          <t>Completed</t>
        </is>
      </c>
      <c r="N331" t="inlineStr">
        <is>
          <t>Facebook</t>
        </is>
      </c>
    </row>
    <row r="332">
      <c r="A332" t="inlineStr">
        <is>
          <t>ORD00331</t>
        </is>
      </c>
      <c r="B332" s="13" t="n">
        <v>46245</v>
      </c>
      <c r="C332" t="inlineStr">
        <is>
          <t>C026</t>
        </is>
      </c>
      <c r="D332" t="inlineStr">
        <is>
          <t>P005</t>
        </is>
      </c>
      <c r="E332" t="n">
        <v>1</v>
      </c>
      <c r="F332" s="14" t="n">
        <v>3695</v>
      </c>
      <c r="G332" s="14" t="n">
        <v>2100</v>
      </c>
      <c r="H332" s="11" t="n">
        <v>0.03</v>
      </c>
      <c r="I332" s="14" t="n">
        <v>3584.15</v>
      </c>
      <c r="J332" s="14" t="n">
        <v>2100</v>
      </c>
      <c r="K332" s="14" t="n">
        <v>1484.15</v>
      </c>
      <c r="L332" t="inlineStr">
        <is>
          <t>GCash</t>
        </is>
      </c>
      <c r="M332" t="inlineStr">
        <is>
          <t>Completed</t>
        </is>
      </c>
      <c r="N332" t="inlineStr">
        <is>
          <t>Facebook</t>
        </is>
      </c>
    </row>
    <row r="333">
      <c r="A333" t="inlineStr">
        <is>
          <t>ORD00332</t>
        </is>
      </c>
      <c r="B333" s="13" t="n">
        <v>46276</v>
      </c>
      <c r="C333" t="inlineStr">
        <is>
          <t>C004</t>
        </is>
      </c>
      <c r="D333" t="inlineStr">
        <is>
          <t>P010</t>
        </is>
      </c>
      <c r="E333" t="n">
        <v>2</v>
      </c>
      <c r="F333" s="14" t="n">
        <v>4495</v>
      </c>
      <c r="G333" s="14" t="n">
        <v>2600</v>
      </c>
      <c r="H333" s="11" t="n">
        <v>0.03</v>
      </c>
      <c r="I333" s="14" t="n">
        <v>8720.299999999999</v>
      </c>
      <c r="J333" s="14" t="n">
        <v>5200</v>
      </c>
      <c r="K333" s="14" t="n">
        <v>3520.299999999999</v>
      </c>
      <c r="L333" t="inlineStr">
        <is>
          <t>Cash</t>
        </is>
      </c>
      <c r="M333" t="inlineStr">
        <is>
          <t>Completed</t>
        </is>
      </c>
      <c r="N333" t="inlineStr">
        <is>
          <t>Walk-in</t>
        </is>
      </c>
    </row>
    <row r="334">
      <c r="A334" t="inlineStr">
        <is>
          <t>ORD00333</t>
        </is>
      </c>
      <c r="B334" s="13" t="n">
        <v>46193</v>
      </c>
      <c r="C334" t="inlineStr">
        <is>
          <t>C015</t>
        </is>
      </c>
      <c r="D334" t="inlineStr">
        <is>
          <t>P010</t>
        </is>
      </c>
      <c r="E334" t="n">
        <v>1</v>
      </c>
      <c r="F334" s="14" t="n">
        <v>4495</v>
      </c>
      <c r="G334" s="14" t="n">
        <v>2600</v>
      </c>
      <c r="H334" s="11" t="n">
        <v>0</v>
      </c>
      <c r="I334" s="14" t="n">
        <v>4495</v>
      </c>
      <c r="J334" s="14" t="n">
        <v>2600</v>
      </c>
      <c r="K334" s="14" t="n">
        <v>1895</v>
      </c>
      <c r="L334" t="inlineStr">
        <is>
          <t>Card</t>
        </is>
      </c>
      <c r="M334" t="inlineStr">
        <is>
          <t>Completed</t>
        </is>
      </c>
      <c r="N334" t="inlineStr">
        <is>
          <t>Facebook</t>
        </is>
      </c>
    </row>
    <row r="335">
      <c r="A335" t="inlineStr">
        <is>
          <t>ORD00334</t>
        </is>
      </c>
      <c r="B335" s="13" t="n">
        <v>46176</v>
      </c>
      <c r="C335" t="inlineStr">
        <is>
          <t>C007</t>
        </is>
      </c>
      <c r="D335" t="inlineStr">
        <is>
          <t>P006</t>
        </is>
      </c>
      <c r="E335" t="n">
        <v>2</v>
      </c>
      <c r="F335" s="14" t="n">
        <v>6295</v>
      </c>
      <c r="G335" s="14" t="n">
        <v>3900</v>
      </c>
      <c r="H335" s="11" t="n">
        <v>0.1</v>
      </c>
      <c r="I335" s="14" t="n">
        <v>11331</v>
      </c>
      <c r="J335" s="14" t="n">
        <v>7800</v>
      </c>
      <c r="K335" s="14" t="n">
        <v>3531</v>
      </c>
      <c r="L335" t="inlineStr">
        <is>
          <t>Maya</t>
        </is>
      </c>
      <c r="M335" t="inlineStr">
        <is>
          <t>Completed</t>
        </is>
      </c>
      <c r="N335" t="inlineStr">
        <is>
          <t>Walk-in</t>
        </is>
      </c>
    </row>
    <row r="336">
      <c r="A336" t="inlineStr">
        <is>
          <t>ORD00335</t>
        </is>
      </c>
      <c r="B336" s="13" t="n">
        <v>46186</v>
      </c>
      <c r="C336" t="inlineStr">
        <is>
          <t>C016</t>
        </is>
      </c>
      <c r="D336" t="inlineStr">
        <is>
          <t>P005</t>
        </is>
      </c>
      <c r="E336" t="n">
        <v>2</v>
      </c>
      <c r="F336" s="14" t="n">
        <v>3695</v>
      </c>
      <c r="G336" s="14" t="n">
        <v>2100</v>
      </c>
      <c r="H336" s="11" t="n">
        <v>0.1</v>
      </c>
      <c r="I336" s="14" t="n">
        <v>6651</v>
      </c>
      <c r="J336" s="14" t="n">
        <v>4200</v>
      </c>
      <c r="K336" s="14" t="n">
        <v>2451</v>
      </c>
      <c r="L336" t="inlineStr">
        <is>
          <t>Cash</t>
        </is>
      </c>
      <c r="M336" t="inlineStr">
        <is>
          <t>Completed</t>
        </is>
      </c>
      <c r="N336" t="inlineStr">
        <is>
          <t>TikTok</t>
        </is>
      </c>
    </row>
    <row r="337">
      <c r="A337" t="inlineStr">
        <is>
          <t>ORD00336</t>
        </is>
      </c>
      <c r="B337" s="13" t="n">
        <v>46224</v>
      </c>
      <c r="C337" t="inlineStr">
        <is>
          <t>C007</t>
        </is>
      </c>
      <c r="D337" t="inlineStr">
        <is>
          <t>P006</t>
        </is>
      </c>
      <c r="E337" t="n">
        <v>1</v>
      </c>
      <c r="F337" s="14" t="n">
        <v>6295</v>
      </c>
      <c r="G337" s="14" t="n">
        <v>3900</v>
      </c>
      <c r="H337" s="11" t="n">
        <v>0.05</v>
      </c>
      <c r="I337" s="14" t="n">
        <v>5980.25</v>
      </c>
      <c r="J337" s="14" t="n">
        <v>3900</v>
      </c>
      <c r="K337" s="14" t="n">
        <v>2080.25</v>
      </c>
      <c r="L337" t="inlineStr">
        <is>
          <t>Cash</t>
        </is>
      </c>
      <c r="M337" t="inlineStr">
        <is>
          <t>Completed</t>
        </is>
      </c>
      <c r="N337" t="inlineStr">
        <is>
          <t>Website</t>
        </is>
      </c>
    </row>
    <row r="338">
      <c r="A338" t="inlineStr">
        <is>
          <t>ORD00337</t>
        </is>
      </c>
      <c r="B338" s="13" t="n">
        <v>46259</v>
      </c>
      <c r="C338" t="inlineStr">
        <is>
          <t>C027</t>
        </is>
      </c>
      <c r="D338" t="inlineStr">
        <is>
          <t>P012</t>
        </is>
      </c>
      <c r="E338" t="n">
        <v>1</v>
      </c>
      <c r="F338" s="14" t="n">
        <v>1595</v>
      </c>
      <c r="G338" s="14" t="n">
        <v>900</v>
      </c>
      <c r="H338" s="11" t="n">
        <v>0</v>
      </c>
      <c r="I338" s="14" t="n">
        <v>1595</v>
      </c>
      <c r="J338" s="14" t="n">
        <v>900</v>
      </c>
      <c r="K338" s="14" t="n">
        <v>695</v>
      </c>
      <c r="L338" t="inlineStr">
        <is>
          <t>GCash</t>
        </is>
      </c>
      <c r="M338" t="inlineStr">
        <is>
          <t>Completed</t>
        </is>
      </c>
      <c r="N338" t="inlineStr">
        <is>
          <t>Walk-in</t>
        </is>
      </c>
    </row>
    <row r="339">
      <c r="A339" t="inlineStr">
        <is>
          <t>ORD00338</t>
        </is>
      </c>
      <c r="B339" s="13" t="n">
        <v>46278</v>
      </c>
      <c r="C339" t="inlineStr">
        <is>
          <t>C009</t>
        </is>
      </c>
      <c r="D339" t="inlineStr">
        <is>
          <t>P003</t>
        </is>
      </c>
      <c r="E339" t="n">
        <v>2</v>
      </c>
      <c r="F339" s="14" t="n">
        <v>5995</v>
      </c>
      <c r="G339" s="14" t="n">
        <v>3800</v>
      </c>
      <c r="H339" s="11" t="n">
        <v>0</v>
      </c>
      <c r="I339" s="14" t="n">
        <v>11990</v>
      </c>
      <c r="J339" s="14" t="n">
        <v>7600</v>
      </c>
      <c r="K339" s="14" t="n">
        <v>4390</v>
      </c>
      <c r="L339" t="inlineStr">
        <is>
          <t>Cash</t>
        </is>
      </c>
      <c r="M339" t="inlineStr">
        <is>
          <t>Completed</t>
        </is>
      </c>
      <c r="N339" t="inlineStr">
        <is>
          <t>Walk-in</t>
        </is>
      </c>
    </row>
    <row r="340">
      <c r="A340" t="inlineStr">
        <is>
          <t>ORD00339</t>
        </is>
      </c>
      <c r="B340" s="13" t="n">
        <v>46060</v>
      </c>
      <c r="C340" t="inlineStr">
        <is>
          <t>C019</t>
        </is>
      </c>
      <c r="D340" t="inlineStr">
        <is>
          <t>P008</t>
        </is>
      </c>
      <c r="E340" t="n">
        <v>4</v>
      </c>
      <c r="F340" s="14" t="n">
        <v>4595</v>
      </c>
      <c r="G340" s="14" t="n">
        <v>2800</v>
      </c>
      <c r="H340" s="11" t="n">
        <v>0.03</v>
      </c>
      <c r="I340" s="14" t="n">
        <v>17828.6</v>
      </c>
      <c r="J340" s="14" t="n">
        <v>11200</v>
      </c>
      <c r="K340" s="14" t="n">
        <v>6628.599999999999</v>
      </c>
      <c r="L340" t="inlineStr">
        <is>
          <t>Maya</t>
        </is>
      </c>
      <c r="M340" t="inlineStr">
        <is>
          <t>Completed</t>
        </is>
      </c>
      <c r="N340" t="inlineStr">
        <is>
          <t>Walk-in</t>
        </is>
      </c>
    </row>
    <row r="341">
      <c r="A341" t="inlineStr">
        <is>
          <t>ORD00340</t>
        </is>
      </c>
      <c r="B341" s="13" t="n">
        <v>46301</v>
      </c>
      <c r="C341" t="inlineStr">
        <is>
          <t>C023</t>
        </is>
      </c>
      <c r="D341" t="inlineStr">
        <is>
          <t>P001</t>
        </is>
      </c>
      <c r="E341" t="n">
        <v>2</v>
      </c>
      <c r="F341" s="14" t="n">
        <v>4995</v>
      </c>
      <c r="G341" s="14" t="n">
        <v>3200</v>
      </c>
      <c r="H341" s="11" t="n">
        <v>0</v>
      </c>
      <c r="I341" s="14" t="n">
        <v>9990</v>
      </c>
      <c r="J341" s="14" t="n">
        <v>6400</v>
      </c>
      <c r="K341" s="14" t="n">
        <v>3590</v>
      </c>
      <c r="L341" t="inlineStr">
        <is>
          <t>GCash</t>
        </is>
      </c>
      <c r="M341" t="inlineStr">
        <is>
          <t>Completed</t>
        </is>
      </c>
      <c r="N341" t="inlineStr">
        <is>
          <t>Facebook</t>
        </is>
      </c>
    </row>
    <row r="342">
      <c r="A342" t="inlineStr">
        <is>
          <t>ORD00341</t>
        </is>
      </c>
      <c r="B342" s="13" t="n">
        <v>46204</v>
      </c>
      <c r="C342" t="inlineStr">
        <is>
          <t>C019</t>
        </is>
      </c>
      <c r="D342" t="inlineStr">
        <is>
          <t>P003</t>
        </is>
      </c>
      <c r="E342" t="n">
        <v>2</v>
      </c>
      <c r="F342" s="14" t="n">
        <v>5995</v>
      </c>
      <c r="G342" s="14" t="n">
        <v>3800</v>
      </c>
      <c r="H342" s="11" t="n">
        <v>0</v>
      </c>
      <c r="I342" s="14" t="n">
        <v>11990</v>
      </c>
      <c r="J342" s="14" t="n">
        <v>7600</v>
      </c>
      <c r="K342" s="14" t="n">
        <v>4390</v>
      </c>
      <c r="L342" t="inlineStr">
        <is>
          <t>Maya</t>
        </is>
      </c>
      <c r="M342" t="inlineStr">
        <is>
          <t>Completed</t>
        </is>
      </c>
      <c r="N342" t="inlineStr">
        <is>
          <t>TikTok</t>
        </is>
      </c>
    </row>
    <row r="343">
      <c r="A343" t="inlineStr">
        <is>
          <t>ORD00342</t>
        </is>
      </c>
      <c r="B343" s="13" t="n">
        <v>46243</v>
      </c>
      <c r="C343" t="inlineStr">
        <is>
          <t>C008</t>
        </is>
      </c>
      <c r="D343" t="inlineStr">
        <is>
          <t>P002</t>
        </is>
      </c>
      <c r="E343" t="n">
        <v>1</v>
      </c>
      <c r="F343" s="14" t="n">
        <v>5495</v>
      </c>
      <c r="G343" s="14" t="n">
        <v>3500</v>
      </c>
      <c r="H343" s="11" t="n">
        <v>0</v>
      </c>
      <c r="I343" s="14" t="n">
        <v>5495</v>
      </c>
      <c r="J343" s="14" t="n">
        <v>3500</v>
      </c>
      <c r="K343" s="14" t="n">
        <v>1995</v>
      </c>
      <c r="L343" t="inlineStr">
        <is>
          <t>Cash</t>
        </is>
      </c>
      <c r="M343" t="inlineStr">
        <is>
          <t>Completed</t>
        </is>
      </c>
      <c r="N343" t="inlineStr">
        <is>
          <t>Walk-in</t>
        </is>
      </c>
    </row>
    <row r="344">
      <c r="A344" t="inlineStr">
        <is>
          <t>ORD00343</t>
        </is>
      </c>
      <c r="B344" s="13" t="n">
        <v>46260</v>
      </c>
      <c r="C344" t="inlineStr">
        <is>
          <t>C005</t>
        </is>
      </c>
      <c r="D344" t="inlineStr">
        <is>
          <t>P011</t>
        </is>
      </c>
      <c r="E344" t="n">
        <v>1</v>
      </c>
      <c r="F344" s="14" t="n">
        <v>1495</v>
      </c>
      <c r="G344" s="14" t="n">
        <v>850</v>
      </c>
      <c r="H344" s="11" t="n">
        <v>0.05</v>
      </c>
      <c r="I344" s="14" t="n">
        <v>0</v>
      </c>
      <c r="J344" s="14" t="n">
        <v>0</v>
      </c>
      <c r="K344" s="14" t="n">
        <v>0</v>
      </c>
      <c r="L344" t="inlineStr">
        <is>
          <t>Card</t>
        </is>
      </c>
      <c r="M344" t="inlineStr">
        <is>
          <t>Cancelled</t>
        </is>
      </c>
      <c r="N344" t="inlineStr">
        <is>
          <t>Walk-in</t>
        </is>
      </c>
    </row>
    <row r="345">
      <c r="A345" t="inlineStr">
        <is>
          <t>ORD00344</t>
        </is>
      </c>
      <c r="B345" s="13" t="n">
        <v>46076</v>
      </c>
      <c r="C345" t="inlineStr">
        <is>
          <t>C004</t>
        </is>
      </c>
      <c r="D345" t="inlineStr">
        <is>
          <t>P005</t>
        </is>
      </c>
      <c r="E345" t="n">
        <v>1</v>
      </c>
      <c r="F345" s="14" t="n">
        <v>3695</v>
      </c>
      <c r="G345" s="14" t="n">
        <v>2100</v>
      </c>
      <c r="H345" s="11" t="n">
        <v>0</v>
      </c>
      <c r="I345" s="14" t="n">
        <v>3695</v>
      </c>
      <c r="J345" s="14" t="n">
        <v>2100</v>
      </c>
      <c r="K345" s="14" t="n">
        <v>1595</v>
      </c>
      <c r="L345" t="inlineStr">
        <is>
          <t>Cash</t>
        </is>
      </c>
      <c r="M345" t="inlineStr">
        <is>
          <t>Completed</t>
        </is>
      </c>
      <c r="N345" t="inlineStr">
        <is>
          <t>TikTok</t>
        </is>
      </c>
    </row>
    <row r="346">
      <c r="A346" t="inlineStr">
        <is>
          <t>ORD00345</t>
        </is>
      </c>
      <c r="B346" s="13" t="n">
        <v>46256</v>
      </c>
      <c r="C346" t="inlineStr">
        <is>
          <t>C016</t>
        </is>
      </c>
      <c r="D346" t="inlineStr">
        <is>
          <t>P004</t>
        </is>
      </c>
      <c r="E346" t="n">
        <v>1</v>
      </c>
      <c r="F346" s="14" t="n">
        <v>3995</v>
      </c>
      <c r="G346" s="14" t="n">
        <v>2200</v>
      </c>
      <c r="H346" s="11" t="n">
        <v>0</v>
      </c>
      <c r="I346" s="14" t="n">
        <v>3995</v>
      </c>
      <c r="J346" s="14" t="n">
        <v>2200</v>
      </c>
      <c r="K346" s="14" t="n">
        <v>1795</v>
      </c>
      <c r="L346" t="inlineStr">
        <is>
          <t>GCash</t>
        </is>
      </c>
      <c r="M346" t="inlineStr">
        <is>
          <t>Completed</t>
        </is>
      </c>
      <c r="N346" t="inlineStr">
        <is>
          <t>Walk-in</t>
        </is>
      </c>
    </row>
    <row r="347">
      <c r="A347" t="inlineStr">
        <is>
          <t>ORD00346</t>
        </is>
      </c>
      <c r="B347" s="13" t="n">
        <v>46186</v>
      </c>
      <c r="C347" t="inlineStr">
        <is>
          <t>C004</t>
        </is>
      </c>
      <c r="D347" t="inlineStr">
        <is>
          <t>P002</t>
        </is>
      </c>
      <c r="E347" t="n">
        <v>1</v>
      </c>
      <c r="F347" s="14" t="n">
        <v>5495</v>
      </c>
      <c r="G347" s="14" t="n">
        <v>3500</v>
      </c>
      <c r="H347" s="11" t="n">
        <v>0.1</v>
      </c>
      <c r="I347" s="14" t="n">
        <v>4945.5</v>
      </c>
      <c r="J347" s="14" t="n">
        <v>3500</v>
      </c>
      <c r="K347" s="14" t="n">
        <v>1445.5</v>
      </c>
      <c r="L347" t="inlineStr">
        <is>
          <t>GCash</t>
        </is>
      </c>
      <c r="M347" t="inlineStr">
        <is>
          <t>Completed</t>
        </is>
      </c>
      <c r="N347" t="inlineStr">
        <is>
          <t>Website</t>
        </is>
      </c>
    </row>
    <row r="348">
      <c r="A348" t="inlineStr">
        <is>
          <t>ORD00347</t>
        </is>
      </c>
      <c r="B348" s="13" t="n">
        <v>46107</v>
      </c>
      <c r="C348" t="inlineStr">
        <is>
          <t>C018</t>
        </is>
      </c>
      <c r="D348" t="inlineStr">
        <is>
          <t>P012</t>
        </is>
      </c>
      <c r="E348" t="n">
        <v>1</v>
      </c>
      <c r="F348" s="14" t="n">
        <v>1595</v>
      </c>
      <c r="G348" s="14" t="n">
        <v>900</v>
      </c>
      <c r="H348" s="11" t="n">
        <v>0</v>
      </c>
      <c r="I348" s="14" t="n">
        <v>1595</v>
      </c>
      <c r="J348" s="14" t="n">
        <v>900</v>
      </c>
      <c r="K348" s="14" t="n">
        <v>695</v>
      </c>
      <c r="L348" t="inlineStr">
        <is>
          <t>Cash</t>
        </is>
      </c>
      <c r="M348" t="inlineStr">
        <is>
          <t>Completed</t>
        </is>
      </c>
      <c r="N348" t="inlineStr">
        <is>
          <t>Walk-in</t>
        </is>
      </c>
    </row>
    <row r="349">
      <c r="A349" t="inlineStr">
        <is>
          <t>ORD00348</t>
        </is>
      </c>
      <c r="B349" s="13" t="n">
        <v>46259</v>
      </c>
      <c r="C349" t="inlineStr">
        <is>
          <t>C006</t>
        </is>
      </c>
      <c r="D349" t="inlineStr">
        <is>
          <t>P004</t>
        </is>
      </c>
      <c r="E349" t="n">
        <v>2</v>
      </c>
      <c r="F349" s="14" t="n">
        <v>3995</v>
      </c>
      <c r="G349" s="14" t="n">
        <v>2200</v>
      </c>
      <c r="H349" s="11" t="n">
        <v>0.1</v>
      </c>
      <c r="I349" s="14" t="n">
        <v>7191</v>
      </c>
      <c r="J349" s="14" t="n">
        <v>4400</v>
      </c>
      <c r="K349" s="14" t="n">
        <v>2791</v>
      </c>
      <c r="L349" t="inlineStr">
        <is>
          <t>Cash</t>
        </is>
      </c>
      <c r="M349" t="inlineStr">
        <is>
          <t>Completed</t>
        </is>
      </c>
      <c r="N349" t="inlineStr">
        <is>
          <t>Walk-in</t>
        </is>
      </c>
    </row>
    <row r="350">
      <c r="A350" t="inlineStr">
        <is>
          <t>ORD00349</t>
        </is>
      </c>
      <c r="B350" s="13" t="n">
        <v>46225</v>
      </c>
      <c r="C350" t="inlineStr">
        <is>
          <t>C015</t>
        </is>
      </c>
      <c r="D350" t="inlineStr">
        <is>
          <t>P001</t>
        </is>
      </c>
      <c r="E350" t="n">
        <v>2</v>
      </c>
      <c r="F350" s="14" t="n">
        <v>4995</v>
      </c>
      <c r="G350" s="14" t="n">
        <v>3200</v>
      </c>
      <c r="H350" s="11" t="n">
        <v>0</v>
      </c>
      <c r="I350" s="14" t="n">
        <v>9990</v>
      </c>
      <c r="J350" s="14" t="n">
        <v>6400</v>
      </c>
      <c r="K350" s="14" t="n">
        <v>3590</v>
      </c>
      <c r="L350" t="inlineStr">
        <is>
          <t>Maya</t>
        </is>
      </c>
      <c r="M350" t="inlineStr">
        <is>
          <t>Completed</t>
        </is>
      </c>
      <c r="N350" t="inlineStr">
        <is>
          <t>Facebook</t>
        </is>
      </c>
    </row>
    <row r="351">
      <c r="A351" t="inlineStr">
        <is>
          <t>ORD00350</t>
        </is>
      </c>
      <c r="B351" s="13" t="n">
        <v>46128</v>
      </c>
      <c r="C351" t="inlineStr">
        <is>
          <t>C019</t>
        </is>
      </c>
      <c r="D351" t="inlineStr">
        <is>
          <t>P005</t>
        </is>
      </c>
      <c r="E351" t="n">
        <v>2</v>
      </c>
      <c r="F351" s="14" t="n">
        <v>3695</v>
      </c>
      <c r="G351" s="14" t="n">
        <v>2100</v>
      </c>
      <c r="H351" s="11" t="n">
        <v>0</v>
      </c>
      <c r="I351" s="14" t="n">
        <v>7390</v>
      </c>
      <c r="J351" s="14" t="n">
        <v>4200</v>
      </c>
      <c r="K351" s="14" t="n">
        <v>3190</v>
      </c>
      <c r="L351" t="inlineStr">
        <is>
          <t>GCash</t>
        </is>
      </c>
      <c r="M351" t="inlineStr">
        <is>
          <t>Completed</t>
        </is>
      </c>
      <c r="N351" t="inlineStr">
        <is>
          <t>Facebook</t>
        </is>
      </c>
    </row>
    <row r="352">
      <c r="A352" t="inlineStr">
        <is>
          <t>ORD00351</t>
        </is>
      </c>
      <c r="B352" s="13" t="n">
        <v>46210</v>
      </c>
      <c r="C352" t="inlineStr">
        <is>
          <t>C009</t>
        </is>
      </c>
      <c r="D352" t="inlineStr">
        <is>
          <t>P006</t>
        </is>
      </c>
      <c r="E352" t="n">
        <v>1</v>
      </c>
      <c r="F352" s="14" t="n">
        <v>6295</v>
      </c>
      <c r="G352" s="14" t="n">
        <v>3900</v>
      </c>
      <c r="H352" s="11" t="n">
        <v>0</v>
      </c>
      <c r="I352" s="14" t="n">
        <v>6295</v>
      </c>
      <c r="J352" s="14" t="n">
        <v>3900</v>
      </c>
      <c r="K352" s="14" t="n">
        <v>2395</v>
      </c>
      <c r="L352" t="inlineStr">
        <is>
          <t>Maya</t>
        </is>
      </c>
      <c r="M352" t="inlineStr">
        <is>
          <t>Completed</t>
        </is>
      </c>
      <c r="N352" t="inlineStr">
        <is>
          <t>TikTok</t>
        </is>
      </c>
    </row>
    <row r="353">
      <c r="A353" t="inlineStr">
        <is>
          <t>ORD00352</t>
        </is>
      </c>
      <c r="B353" s="13" t="n">
        <v>46221</v>
      </c>
      <c r="C353" t="inlineStr">
        <is>
          <t>C012</t>
        </is>
      </c>
      <c r="D353" t="inlineStr">
        <is>
          <t>P010</t>
        </is>
      </c>
      <c r="E353" t="n">
        <v>1</v>
      </c>
      <c r="F353" s="14" t="n">
        <v>4495</v>
      </c>
      <c r="G353" s="14" t="n">
        <v>2600</v>
      </c>
      <c r="H353" s="11" t="n">
        <v>0</v>
      </c>
      <c r="I353" s="14" t="n">
        <v>4495</v>
      </c>
      <c r="J353" s="14" t="n">
        <v>2600</v>
      </c>
      <c r="K353" s="14" t="n">
        <v>1895</v>
      </c>
      <c r="L353" t="inlineStr">
        <is>
          <t>Card</t>
        </is>
      </c>
      <c r="M353" t="inlineStr">
        <is>
          <t>Completed</t>
        </is>
      </c>
      <c r="N353" t="inlineStr">
        <is>
          <t>Facebook</t>
        </is>
      </c>
    </row>
    <row r="354">
      <c r="A354" t="inlineStr">
        <is>
          <t>ORD00353</t>
        </is>
      </c>
      <c r="B354" s="13" t="n">
        <v>46175</v>
      </c>
      <c r="C354" t="inlineStr">
        <is>
          <t>C005</t>
        </is>
      </c>
      <c r="D354" t="inlineStr">
        <is>
          <t>P010</t>
        </is>
      </c>
      <c r="E354" t="n">
        <v>1</v>
      </c>
      <c r="F354" s="14" t="n">
        <v>4495</v>
      </c>
      <c r="G354" s="14" t="n">
        <v>2600</v>
      </c>
      <c r="H354" s="11" t="n">
        <v>0.1</v>
      </c>
      <c r="I354" s="14" t="n">
        <v>4045.5</v>
      </c>
      <c r="J354" s="14" t="n">
        <v>2600</v>
      </c>
      <c r="K354" s="14" t="n">
        <v>1445.5</v>
      </c>
      <c r="L354" t="inlineStr">
        <is>
          <t>Card</t>
        </is>
      </c>
      <c r="M354" t="inlineStr">
        <is>
          <t>Completed</t>
        </is>
      </c>
      <c r="N354" t="inlineStr">
        <is>
          <t>TikTok</t>
        </is>
      </c>
    </row>
    <row r="355">
      <c r="A355" t="inlineStr">
        <is>
          <t>ORD00354</t>
        </is>
      </c>
      <c r="B355" s="13" t="n">
        <v>46082</v>
      </c>
      <c r="C355" t="inlineStr">
        <is>
          <t>C017</t>
        </is>
      </c>
      <c r="D355" t="inlineStr">
        <is>
          <t>P003</t>
        </is>
      </c>
      <c r="E355" t="n">
        <v>1</v>
      </c>
      <c r="F355" s="14" t="n">
        <v>5995</v>
      </c>
      <c r="G355" s="14" t="n">
        <v>3800</v>
      </c>
      <c r="H355" s="11" t="n">
        <v>0</v>
      </c>
      <c r="I355" s="14" t="n">
        <v>5995</v>
      </c>
      <c r="J355" s="14" t="n">
        <v>3800</v>
      </c>
      <c r="K355" s="14" t="n">
        <v>2195</v>
      </c>
      <c r="L355" t="inlineStr">
        <is>
          <t>Maya</t>
        </is>
      </c>
      <c r="M355" t="inlineStr">
        <is>
          <t>Completed</t>
        </is>
      </c>
      <c r="N355" t="inlineStr">
        <is>
          <t>Facebook</t>
        </is>
      </c>
    </row>
    <row r="356">
      <c r="A356" t="inlineStr">
        <is>
          <t>ORD00355</t>
        </is>
      </c>
      <c r="B356" s="13" t="n">
        <v>46219</v>
      </c>
      <c r="C356" t="inlineStr">
        <is>
          <t>C018</t>
        </is>
      </c>
      <c r="D356" t="inlineStr">
        <is>
          <t>P007</t>
        </is>
      </c>
      <c r="E356" t="n">
        <v>1</v>
      </c>
      <c r="F356" s="14" t="n">
        <v>5295</v>
      </c>
      <c r="G356" s="14" t="n">
        <v>3300</v>
      </c>
      <c r="H356" s="11" t="n">
        <v>0.1</v>
      </c>
      <c r="I356" s="14" t="n">
        <v>4765.5</v>
      </c>
      <c r="J356" s="14" t="n">
        <v>3300</v>
      </c>
      <c r="K356" s="14" t="n">
        <v>1465.5</v>
      </c>
      <c r="L356" t="inlineStr">
        <is>
          <t>Cash</t>
        </is>
      </c>
      <c r="M356" t="inlineStr">
        <is>
          <t>Completed</t>
        </is>
      </c>
      <c r="N356" t="inlineStr">
        <is>
          <t>Walk-in</t>
        </is>
      </c>
    </row>
    <row r="357">
      <c r="A357" t="inlineStr">
        <is>
          <t>ORD00356</t>
        </is>
      </c>
      <c r="B357" s="13" t="n">
        <v>46170</v>
      </c>
      <c r="C357" t="inlineStr">
        <is>
          <t>C020</t>
        </is>
      </c>
      <c r="D357" t="inlineStr">
        <is>
          <t>P003</t>
        </is>
      </c>
      <c r="E357" t="n">
        <v>1</v>
      </c>
      <c r="F357" s="14" t="n">
        <v>5995</v>
      </c>
      <c r="G357" s="14" t="n">
        <v>3800</v>
      </c>
      <c r="H357" s="11" t="n">
        <v>0.03</v>
      </c>
      <c r="I357" s="14" t="n">
        <v>5815.15</v>
      </c>
      <c r="J357" s="14" t="n">
        <v>3800</v>
      </c>
      <c r="K357" s="14" t="n">
        <v>2015.15</v>
      </c>
      <c r="L357" t="inlineStr">
        <is>
          <t>GCash</t>
        </is>
      </c>
      <c r="M357" t="inlineStr">
        <is>
          <t>Completed</t>
        </is>
      </c>
      <c r="N357" t="inlineStr">
        <is>
          <t>Website</t>
        </is>
      </c>
    </row>
    <row r="358">
      <c r="A358" t="inlineStr">
        <is>
          <t>ORD00357</t>
        </is>
      </c>
      <c r="B358" s="13" t="n">
        <v>46271</v>
      </c>
      <c r="C358" t="inlineStr">
        <is>
          <t>C018</t>
        </is>
      </c>
      <c r="D358" t="inlineStr">
        <is>
          <t>P003</t>
        </is>
      </c>
      <c r="E358" t="n">
        <v>1</v>
      </c>
      <c r="F358" s="14" t="n">
        <v>5995</v>
      </c>
      <c r="G358" s="14" t="n">
        <v>3800</v>
      </c>
      <c r="H358" s="11" t="n">
        <v>0.03</v>
      </c>
      <c r="I358" s="14" t="n">
        <v>5815.15</v>
      </c>
      <c r="J358" s="14" t="n">
        <v>3800</v>
      </c>
      <c r="K358" s="14" t="n">
        <v>2015.15</v>
      </c>
      <c r="L358" t="inlineStr">
        <is>
          <t>Maya</t>
        </is>
      </c>
      <c r="M358" t="inlineStr">
        <is>
          <t>Completed</t>
        </is>
      </c>
      <c r="N358" t="inlineStr">
        <is>
          <t>Walk-in</t>
        </is>
      </c>
    </row>
    <row r="359">
      <c r="A359" t="inlineStr">
        <is>
          <t>ORD00358</t>
        </is>
      </c>
      <c r="B359" s="13" t="n">
        <v>46235</v>
      </c>
      <c r="C359" t="inlineStr">
        <is>
          <t>C006</t>
        </is>
      </c>
      <c r="D359" t="inlineStr">
        <is>
          <t>P012</t>
        </is>
      </c>
      <c r="E359" t="n">
        <v>2</v>
      </c>
      <c r="F359" s="14" t="n">
        <v>1595</v>
      </c>
      <c r="G359" s="14" t="n">
        <v>900</v>
      </c>
      <c r="H359" s="11" t="n">
        <v>0.03</v>
      </c>
      <c r="I359" s="14" t="n">
        <v>3094.3</v>
      </c>
      <c r="J359" s="14" t="n">
        <v>1800</v>
      </c>
      <c r="K359" s="14" t="n">
        <v>1294.3</v>
      </c>
      <c r="L359" t="inlineStr">
        <is>
          <t>GCash</t>
        </is>
      </c>
      <c r="M359" t="inlineStr">
        <is>
          <t>Completed</t>
        </is>
      </c>
      <c r="N359" t="inlineStr">
        <is>
          <t>Facebook</t>
        </is>
      </c>
    </row>
    <row r="360">
      <c r="A360" t="inlineStr">
        <is>
          <t>ORD00359</t>
        </is>
      </c>
      <c r="B360" s="13" t="n">
        <v>46172</v>
      </c>
      <c r="C360" t="inlineStr">
        <is>
          <t>C010</t>
        </is>
      </c>
      <c r="D360" t="inlineStr">
        <is>
          <t>P001</t>
        </is>
      </c>
      <c r="E360" t="n">
        <v>1</v>
      </c>
      <c r="F360" s="14" t="n">
        <v>4995</v>
      </c>
      <c r="G360" s="14" t="n">
        <v>3200</v>
      </c>
      <c r="H360" s="11" t="n">
        <v>0.05</v>
      </c>
      <c r="I360" s="14" t="n">
        <v>4745.25</v>
      </c>
      <c r="J360" s="14" t="n">
        <v>3200</v>
      </c>
      <c r="K360" s="14" t="n">
        <v>1545.25</v>
      </c>
      <c r="L360" t="inlineStr">
        <is>
          <t>Cash</t>
        </is>
      </c>
      <c r="M360" t="inlineStr">
        <is>
          <t>Completed</t>
        </is>
      </c>
      <c r="N360" t="inlineStr">
        <is>
          <t>Walk-in</t>
        </is>
      </c>
    </row>
    <row r="361">
      <c r="A361" t="inlineStr">
        <is>
          <t>ORD00360</t>
        </is>
      </c>
      <c r="B361" s="13" t="n">
        <v>46284</v>
      </c>
      <c r="C361" t="inlineStr">
        <is>
          <t>C025</t>
        </is>
      </c>
      <c r="D361" t="inlineStr">
        <is>
          <t>P002</t>
        </is>
      </c>
      <c r="E361" t="n">
        <v>1</v>
      </c>
      <c r="F361" s="14" t="n">
        <v>5495</v>
      </c>
      <c r="G361" s="14" t="n">
        <v>3500</v>
      </c>
      <c r="H361" s="11" t="n">
        <v>0</v>
      </c>
      <c r="I361" s="14" t="n">
        <v>5495</v>
      </c>
      <c r="J361" s="14" t="n">
        <v>3500</v>
      </c>
      <c r="K361" s="14" t="n">
        <v>1995</v>
      </c>
      <c r="L361" t="inlineStr">
        <is>
          <t>Card</t>
        </is>
      </c>
      <c r="M361" t="inlineStr">
        <is>
          <t>Completed</t>
        </is>
      </c>
      <c r="N361" t="inlineStr">
        <is>
          <t>Website</t>
        </is>
      </c>
    </row>
    <row r="362">
      <c r="A362" t="inlineStr">
        <is>
          <t>ORD00361</t>
        </is>
      </c>
      <c r="B362" s="13" t="n">
        <v>46248</v>
      </c>
      <c r="C362" t="inlineStr">
        <is>
          <t>C004</t>
        </is>
      </c>
      <c r="D362" t="inlineStr">
        <is>
          <t>P009</t>
        </is>
      </c>
      <c r="E362" t="n">
        <v>1</v>
      </c>
      <c r="F362" s="14" t="n">
        <v>5795</v>
      </c>
      <c r="G362" s="14" t="n">
        <v>3600</v>
      </c>
      <c r="H362" s="11" t="n">
        <v>0.03</v>
      </c>
      <c r="I362" s="14" t="n">
        <v>5621.15</v>
      </c>
      <c r="J362" s="14" t="n">
        <v>3600</v>
      </c>
      <c r="K362" s="14" t="n">
        <v>2021.15</v>
      </c>
      <c r="L362" t="inlineStr">
        <is>
          <t>Cash</t>
        </is>
      </c>
      <c r="M362" t="inlineStr">
        <is>
          <t>Completed</t>
        </is>
      </c>
      <c r="N362" t="inlineStr">
        <is>
          <t>Website</t>
        </is>
      </c>
    </row>
    <row r="363">
      <c r="A363" t="inlineStr">
        <is>
          <t>ORD00362</t>
        </is>
      </c>
      <c r="B363" s="13" t="n">
        <v>46253</v>
      </c>
      <c r="C363" t="inlineStr">
        <is>
          <t>C015</t>
        </is>
      </c>
      <c r="D363" t="inlineStr">
        <is>
          <t>P005</t>
        </is>
      </c>
      <c r="E363" t="n">
        <v>1</v>
      </c>
      <c r="F363" s="14" t="n">
        <v>3695</v>
      </c>
      <c r="G363" s="14" t="n">
        <v>2100</v>
      </c>
      <c r="H363" s="11" t="n">
        <v>0</v>
      </c>
      <c r="I363" s="14" t="n">
        <v>3695</v>
      </c>
      <c r="J363" s="14" t="n">
        <v>2100</v>
      </c>
      <c r="K363" s="14" t="n">
        <v>1595</v>
      </c>
      <c r="L363" t="inlineStr">
        <is>
          <t>GCash</t>
        </is>
      </c>
      <c r="M363" t="inlineStr">
        <is>
          <t>Completed</t>
        </is>
      </c>
      <c r="N363" t="inlineStr">
        <is>
          <t>Facebook</t>
        </is>
      </c>
    </row>
    <row r="364">
      <c r="A364" t="inlineStr">
        <is>
          <t>ORD00363</t>
        </is>
      </c>
      <c r="B364" s="13" t="n">
        <v>46130</v>
      </c>
      <c r="C364" t="inlineStr">
        <is>
          <t>C028</t>
        </is>
      </c>
      <c r="D364" t="inlineStr">
        <is>
          <t>P012</t>
        </is>
      </c>
      <c r="E364" t="n">
        <v>1</v>
      </c>
      <c r="F364" s="14" t="n">
        <v>1595</v>
      </c>
      <c r="G364" s="14" t="n">
        <v>900</v>
      </c>
      <c r="H364" s="11" t="n">
        <v>0</v>
      </c>
      <c r="I364" s="14" t="n">
        <v>1595</v>
      </c>
      <c r="J364" s="14" t="n">
        <v>900</v>
      </c>
      <c r="K364" s="14" t="n">
        <v>695</v>
      </c>
      <c r="L364" t="inlineStr">
        <is>
          <t>Maya</t>
        </is>
      </c>
      <c r="M364" t="inlineStr">
        <is>
          <t>Completed</t>
        </is>
      </c>
      <c r="N364" t="inlineStr">
        <is>
          <t>Facebook</t>
        </is>
      </c>
    </row>
    <row r="365">
      <c r="A365" t="inlineStr">
        <is>
          <t>ORD00364</t>
        </is>
      </c>
      <c r="B365" s="13" t="n">
        <v>46128</v>
      </c>
      <c r="C365" t="inlineStr">
        <is>
          <t>C012</t>
        </is>
      </c>
      <c r="D365" t="inlineStr">
        <is>
          <t>P004</t>
        </is>
      </c>
      <c r="E365" t="n">
        <v>2</v>
      </c>
      <c r="F365" s="14" t="n">
        <v>3995</v>
      </c>
      <c r="G365" s="14" t="n">
        <v>2200</v>
      </c>
      <c r="H365" s="11" t="n">
        <v>0.05</v>
      </c>
      <c r="I365" s="14" t="n">
        <v>7590.5</v>
      </c>
      <c r="J365" s="14" t="n">
        <v>4400</v>
      </c>
      <c r="K365" s="14" t="n">
        <v>3190.5</v>
      </c>
      <c r="L365" t="inlineStr">
        <is>
          <t>Card</t>
        </is>
      </c>
      <c r="M365" t="inlineStr">
        <is>
          <t>Completed</t>
        </is>
      </c>
      <c r="N365" t="inlineStr">
        <is>
          <t>Facebook</t>
        </is>
      </c>
    </row>
    <row r="366">
      <c r="A366" t="inlineStr">
        <is>
          <t>ORD00365</t>
        </is>
      </c>
      <c r="B366" s="13" t="n">
        <v>46188</v>
      </c>
      <c r="C366" t="inlineStr">
        <is>
          <t>C009</t>
        </is>
      </c>
      <c r="D366" t="inlineStr">
        <is>
          <t>P012</t>
        </is>
      </c>
      <c r="E366" t="n">
        <v>1</v>
      </c>
      <c r="F366" s="14" t="n">
        <v>1595</v>
      </c>
      <c r="G366" s="14" t="n">
        <v>900</v>
      </c>
      <c r="H366" s="11" t="n">
        <v>0.05</v>
      </c>
      <c r="I366" s="14" t="n">
        <v>1515.25</v>
      </c>
      <c r="J366" s="14" t="n">
        <v>900</v>
      </c>
      <c r="K366" s="14" t="n">
        <v>615.25</v>
      </c>
      <c r="L366" t="inlineStr">
        <is>
          <t>GCash</t>
        </is>
      </c>
      <c r="M366" t="inlineStr">
        <is>
          <t>Completed</t>
        </is>
      </c>
      <c r="N366" t="inlineStr">
        <is>
          <t>Walk-in</t>
        </is>
      </c>
    </row>
    <row r="367">
      <c r="A367" t="inlineStr">
        <is>
          <t>ORD00366</t>
        </is>
      </c>
      <c r="B367" s="13" t="n">
        <v>46053</v>
      </c>
      <c r="C367" t="inlineStr">
        <is>
          <t>C023</t>
        </is>
      </c>
      <c r="D367" t="inlineStr">
        <is>
          <t>P005</t>
        </is>
      </c>
      <c r="E367" t="n">
        <v>2</v>
      </c>
      <c r="F367" s="14" t="n">
        <v>3695</v>
      </c>
      <c r="G367" s="14" t="n">
        <v>2100</v>
      </c>
      <c r="H367" s="11" t="n">
        <v>0</v>
      </c>
      <c r="I367" s="14" t="n">
        <v>7390</v>
      </c>
      <c r="J367" s="14" t="n">
        <v>4200</v>
      </c>
      <c r="K367" s="14" t="n">
        <v>3190</v>
      </c>
      <c r="L367" t="inlineStr">
        <is>
          <t>Cash</t>
        </is>
      </c>
      <c r="M367" t="inlineStr">
        <is>
          <t>Completed</t>
        </is>
      </c>
      <c r="N367" t="inlineStr">
        <is>
          <t>TikTok</t>
        </is>
      </c>
    </row>
    <row r="368">
      <c r="A368" t="inlineStr">
        <is>
          <t>ORD00367</t>
        </is>
      </c>
      <c r="B368" s="13" t="n">
        <v>46149</v>
      </c>
      <c r="C368" t="inlineStr">
        <is>
          <t>C019</t>
        </is>
      </c>
      <c r="D368" t="inlineStr">
        <is>
          <t>P011</t>
        </is>
      </c>
      <c r="E368" t="n">
        <v>1</v>
      </c>
      <c r="F368" s="14" t="n">
        <v>1495</v>
      </c>
      <c r="G368" s="14" t="n">
        <v>850</v>
      </c>
      <c r="H368" s="11" t="n">
        <v>0</v>
      </c>
      <c r="I368" s="14" t="n">
        <v>1495</v>
      </c>
      <c r="J368" s="14" t="n">
        <v>850</v>
      </c>
      <c r="K368" s="14" t="n">
        <v>645</v>
      </c>
      <c r="L368" t="inlineStr">
        <is>
          <t>Card</t>
        </is>
      </c>
      <c r="M368" t="inlineStr">
        <is>
          <t>Completed</t>
        </is>
      </c>
      <c r="N368" t="inlineStr">
        <is>
          <t>Walk-in</t>
        </is>
      </c>
    </row>
    <row r="369">
      <c r="A369" t="inlineStr">
        <is>
          <t>ORD00368</t>
        </is>
      </c>
      <c r="B369" s="13" t="n">
        <v>46254</v>
      </c>
      <c r="C369" t="inlineStr">
        <is>
          <t>C013</t>
        </is>
      </c>
      <c r="D369" t="inlineStr">
        <is>
          <t>P002</t>
        </is>
      </c>
      <c r="E369" t="n">
        <v>2</v>
      </c>
      <c r="F369" s="14" t="n">
        <v>5495</v>
      </c>
      <c r="G369" s="14" t="n">
        <v>3500</v>
      </c>
      <c r="H369" s="11" t="n">
        <v>0</v>
      </c>
      <c r="I369" s="14" t="n">
        <v>10990</v>
      </c>
      <c r="J369" s="14" t="n">
        <v>7000</v>
      </c>
      <c r="K369" s="14" t="n">
        <v>3990</v>
      </c>
      <c r="L369" t="inlineStr">
        <is>
          <t>Card</t>
        </is>
      </c>
      <c r="M369" t="inlineStr">
        <is>
          <t>Completed</t>
        </is>
      </c>
      <c r="N369" t="inlineStr">
        <is>
          <t>TikTok</t>
        </is>
      </c>
    </row>
    <row r="370">
      <c r="A370" t="inlineStr">
        <is>
          <t>ORD00369</t>
        </is>
      </c>
      <c r="B370" s="13" t="n">
        <v>46255</v>
      </c>
      <c r="C370" t="inlineStr">
        <is>
          <t>C028</t>
        </is>
      </c>
      <c r="D370" t="inlineStr">
        <is>
          <t>P008</t>
        </is>
      </c>
      <c r="E370" t="n">
        <v>1</v>
      </c>
      <c r="F370" s="14" t="n">
        <v>4595</v>
      </c>
      <c r="G370" s="14" t="n">
        <v>2800</v>
      </c>
      <c r="H370" s="11" t="n">
        <v>0</v>
      </c>
      <c r="I370" s="14" t="n">
        <v>4595</v>
      </c>
      <c r="J370" s="14" t="n">
        <v>2800</v>
      </c>
      <c r="K370" s="14" t="n">
        <v>1795</v>
      </c>
      <c r="L370" t="inlineStr">
        <is>
          <t>GCash</t>
        </is>
      </c>
      <c r="M370" t="inlineStr">
        <is>
          <t>Completed</t>
        </is>
      </c>
      <c r="N370" t="inlineStr">
        <is>
          <t>Walk-in</t>
        </is>
      </c>
    </row>
    <row r="371">
      <c r="A371" t="inlineStr">
        <is>
          <t>ORD00370</t>
        </is>
      </c>
      <c r="B371" s="13" t="n">
        <v>46206</v>
      </c>
      <c r="C371" t="inlineStr">
        <is>
          <t>C007</t>
        </is>
      </c>
      <c r="D371" t="inlineStr">
        <is>
          <t>P002</t>
        </is>
      </c>
      <c r="E371" t="n">
        <v>2</v>
      </c>
      <c r="F371" s="14" t="n">
        <v>5495</v>
      </c>
      <c r="G371" s="14" t="n">
        <v>3500</v>
      </c>
      <c r="H371" s="11" t="n">
        <v>0.03</v>
      </c>
      <c r="I371" s="14" t="n">
        <v>10660.3</v>
      </c>
      <c r="J371" s="14" t="n">
        <v>7000</v>
      </c>
      <c r="K371" s="14" t="n">
        <v>3660.299999999999</v>
      </c>
      <c r="L371" t="inlineStr">
        <is>
          <t>Maya</t>
        </is>
      </c>
      <c r="M371" t="inlineStr">
        <is>
          <t>Completed</t>
        </is>
      </c>
      <c r="N371" t="inlineStr">
        <is>
          <t>Walk-in</t>
        </is>
      </c>
    </row>
    <row r="372">
      <c r="A372" t="inlineStr">
        <is>
          <t>ORD00371</t>
        </is>
      </c>
      <c r="B372" s="13" t="n">
        <v>46160</v>
      </c>
      <c r="C372" t="inlineStr">
        <is>
          <t>C018</t>
        </is>
      </c>
      <c r="D372" t="inlineStr">
        <is>
          <t>P006</t>
        </is>
      </c>
      <c r="E372" t="n">
        <v>2</v>
      </c>
      <c r="F372" s="14" t="n">
        <v>6295</v>
      </c>
      <c r="G372" s="14" t="n">
        <v>3900</v>
      </c>
      <c r="H372" s="11" t="n">
        <v>0</v>
      </c>
      <c r="I372" s="14" t="n">
        <v>12590</v>
      </c>
      <c r="J372" s="14" t="n">
        <v>7800</v>
      </c>
      <c r="K372" s="14" t="n">
        <v>4790</v>
      </c>
      <c r="L372" t="inlineStr">
        <is>
          <t>Cash</t>
        </is>
      </c>
      <c r="M372" t="inlineStr">
        <is>
          <t>Completed</t>
        </is>
      </c>
      <c r="N372" t="inlineStr">
        <is>
          <t>Walk-in</t>
        </is>
      </c>
    </row>
    <row r="373">
      <c r="A373" t="inlineStr">
        <is>
          <t>ORD00372</t>
        </is>
      </c>
      <c r="B373" s="13" t="n">
        <v>46198</v>
      </c>
      <c r="C373" t="inlineStr">
        <is>
          <t>C004</t>
        </is>
      </c>
      <c r="D373" t="inlineStr">
        <is>
          <t>P011</t>
        </is>
      </c>
      <c r="E373" t="n">
        <v>2</v>
      </c>
      <c r="F373" s="14" t="n">
        <v>1495</v>
      </c>
      <c r="G373" s="14" t="n">
        <v>850</v>
      </c>
      <c r="H373" s="11" t="n">
        <v>0</v>
      </c>
      <c r="I373" s="14" t="n">
        <v>2990</v>
      </c>
      <c r="J373" s="14" t="n">
        <v>1700</v>
      </c>
      <c r="K373" s="14" t="n">
        <v>1290</v>
      </c>
      <c r="L373" t="inlineStr">
        <is>
          <t>Maya</t>
        </is>
      </c>
      <c r="M373" t="inlineStr">
        <is>
          <t>Completed</t>
        </is>
      </c>
      <c r="N373" t="inlineStr">
        <is>
          <t>Facebook</t>
        </is>
      </c>
    </row>
    <row r="374">
      <c r="A374" t="inlineStr">
        <is>
          <t>ORD00373</t>
        </is>
      </c>
      <c r="B374" s="13" t="n">
        <v>46248</v>
      </c>
      <c r="C374" t="inlineStr">
        <is>
          <t>C007</t>
        </is>
      </c>
      <c r="D374" t="inlineStr">
        <is>
          <t>P008</t>
        </is>
      </c>
      <c r="E374" t="n">
        <v>1</v>
      </c>
      <c r="F374" s="14" t="n">
        <v>4595</v>
      </c>
      <c r="G374" s="14" t="n">
        <v>2800</v>
      </c>
      <c r="H374" s="11" t="n">
        <v>0.03</v>
      </c>
      <c r="I374" s="14" t="n">
        <v>4457.15</v>
      </c>
      <c r="J374" s="14" t="n">
        <v>2800</v>
      </c>
      <c r="K374" s="14" t="n">
        <v>1657.15</v>
      </c>
      <c r="L374" t="inlineStr">
        <is>
          <t>Cash</t>
        </is>
      </c>
      <c r="M374" t="inlineStr">
        <is>
          <t>Completed</t>
        </is>
      </c>
      <c r="N374" t="inlineStr">
        <is>
          <t>TikTok</t>
        </is>
      </c>
    </row>
    <row r="375">
      <c r="A375" t="inlineStr">
        <is>
          <t>ORD00374</t>
        </is>
      </c>
      <c r="B375" s="13" t="n">
        <v>46104</v>
      </c>
      <c r="C375" t="inlineStr">
        <is>
          <t>C009</t>
        </is>
      </c>
      <c r="D375" t="inlineStr">
        <is>
          <t>P005</t>
        </is>
      </c>
      <c r="E375" t="n">
        <v>1</v>
      </c>
      <c r="F375" s="14" t="n">
        <v>3695</v>
      </c>
      <c r="G375" s="14" t="n">
        <v>2100</v>
      </c>
      <c r="H375" s="11" t="n">
        <v>0</v>
      </c>
      <c r="I375" s="14" t="n">
        <v>3695</v>
      </c>
      <c r="J375" s="14" t="n">
        <v>2100</v>
      </c>
      <c r="K375" s="14" t="n">
        <v>1595</v>
      </c>
      <c r="L375" t="inlineStr">
        <is>
          <t>GCash</t>
        </is>
      </c>
      <c r="M375" t="inlineStr">
        <is>
          <t>Completed</t>
        </is>
      </c>
      <c r="N375" t="inlineStr">
        <is>
          <t>Facebook</t>
        </is>
      </c>
    </row>
    <row r="376">
      <c r="A376" t="inlineStr">
        <is>
          <t>ORD00375</t>
        </is>
      </c>
      <c r="B376" s="13" t="n">
        <v>46049</v>
      </c>
      <c r="C376" t="inlineStr">
        <is>
          <t>C023</t>
        </is>
      </c>
      <c r="D376" t="inlineStr">
        <is>
          <t>P007</t>
        </is>
      </c>
      <c r="E376" t="n">
        <v>2</v>
      </c>
      <c r="F376" s="14" t="n">
        <v>5295</v>
      </c>
      <c r="G376" s="14" t="n">
        <v>3300</v>
      </c>
      <c r="H376" s="11" t="n">
        <v>0.1</v>
      </c>
      <c r="I376" s="14" t="n">
        <v>9531</v>
      </c>
      <c r="J376" s="14" t="n">
        <v>6600</v>
      </c>
      <c r="K376" s="14" t="n">
        <v>2931</v>
      </c>
      <c r="L376" t="inlineStr">
        <is>
          <t>Cash</t>
        </is>
      </c>
      <c r="M376" t="inlineStr">
        <is>
          <t>Completed</t>
        </is>
      </c>
      <c r="N376" t="inlineStr">
        <is>
          <t>Website</t>
        </is>
      </c>
    </row>
    <row r="377">
      <c r="A377" t="inlineStr">
        <is>
          <t>ORD00376</t>
        </is>
      </c>
      <c r="B377" s="13" t="n">
        <v>46071</v>
      </c>
      <c r="C377" t="inlineStr">
        <is>
          <t>C005</t>
        </is>
      </c>
      <c r="D377" t="inlineStr">
        <is>
          <t>P001</t>
        </is>
      </c>
      <c r="E377" t="n">
        <v>1</v>
      </c>
      <c r="F377" s="14" t="n">
        <v>4995</v>
      </c>
      <c r="G377" s="14" t="n">
        <v>3200</v>
      </c>
      <c r="H377" s="11" t="n">
        <v>0</v>
      </c>
      <c r="I377" s="14" t="n">
        <v>4995</v>
      </c>
      <c r="J377" s="14" t="n">
        <v>3200</v>
      </c>
      <c r="K377" s="14" t="n">
        <v>1795</v>
      </c>
      <c r="L377" t="inlineStr">
        <is>
          <t>Cash</t>
        </is>
      </c>
      <c r="M377" t="inlineStr">
        <is>
          <t>Completed</t>
        </is>
      </c>
      <c r="N377" t="inlineStr">
        <is>
          <t>Walk-in</t>
        </is>
      </c>
    </row>
    <row r="378">
      <c r="A378" t="inlineStr">
        <is>
          <t>ORD00377</t>
        </is>
      </c>
      <c r="B378" s="13" t="n">
        <v>46027</v>
      </c>
      <c r="C378" t="inlineStr">
        <is>
          <t>C028</t>
        </is>
      </c>
      <c r="D378" t="inlineStr">
        <is>
          <t>P001</t>
        </is>
      </c>
      <c r="E378" t="n">
        <v>2</v>
      </c>
      <c r="F378" s="14" t="n">
        <v>4995</v>
      </c>
      <c r="G378" s="14" t="n">
        <v>3200</v>
      </c>
      <c r="H378" s="11" t="n">
        <v>0</v>
      </c>
      <c r="I378" s="14" t="n">
        <v>9990</v>
      </c>
      <c r="J378" s="14" t="n">
        <v>6400</v>
      </c>
      <c r="K378" s="14" t="n">
        <v>3590</v>
      </c>
      <c r="L378" t="inlineStr">
        <is>
          <t>Maya</t>
        </is>
      </c>
      <c r="M378" t="inlineStr">
        <is>
          <t>Completed</t>
        </is>
      </c>
      <c r="N378" t="inlineStr">
        <is>
          <t>Walk-in</t>
        </is>
      </c>
    </row>
    <row r="379">
      <c r="A379" t="inlineStr">
        <is>
          <t>ORD00378</t>
        </is>
      </c>
      <c r="B379" s="13" t="n">
        <v>46059</v>
      </c>
      <c r="C379" t="inlineStr">
        <is>
          <t>C026</t>
        </is>
      </c>
      <c r="D379" t="inlineStr">
        <is>
          <t>P004</t>
        </is>
      </c>
      <c r="E379" t="n">
        <v>1</v>
      </c>
      <c r="F379" s="14" t="n">
        <v>3995</v>
      </c>
      <c r="G379" s="14" t="n">
        <v>2200</v>
      </c>
      <c r="H379" s="11" t="n">
        <v>0.1</v>
      </c>
      <c r="I379" s="14" t="n">
        <v>3595.5</v>
      </c>
      <c r="J379" s="14" t="n">
        <v>2200</v>
      </c>
      <c r="K379" s="14" t="n">
        <v>1395.5</v>
      </c>
      <c r="L379" t="inlineStr">
        <is>
          <t>GCash</t>
        </is>
      </c>
      <c r="M379" t="inlineStr">
        <is>
          <t>Completed</t>
        </is>
      </c>
      <c r="N379" t="inlineStr">
        <is>
          <t>TikTok</t>
        </is>
      </c>
    </row>
    <row r="380">
      <c r="A380" t="inlineStr">
        <is>
          <t>ORD00379</t>
        </is>
      </c>
      <c r="B380" s="13" t="n">
        <v>46176</v>
      </c>
      <c r="C380" t="inlineStr">
        <is>
          <t>C021</t>
        </is>
      </c>
      <c r="D380" t="inlineStr">
        <is>
          <t>P003</t>
        </is>
      </c>
      <c r="E380" t="n">
        <v>1</v>
      </c>
      <c r="F380" s="14" t="n">
        <v>5995</v>
      </c>
      <c r="G380" s="14" t="n">
        <v>3800</v>
      </c>
      <c r="H380" s="11" t="n">
        <v>0</v>
      </c>
      <c r="I380" s="14" t="n">
        <v>5995</v>
      </c>
      <c r="J380" s="14" t="n">
        <v>3800</v>
      </c>
      <c r="K380" s="14" t="n">
        <v>2195</v>
      </c>
      <c r="L380" t="inlineStr">
        <is>
          <t>Cash</t>
        </is>
      </c>
      <c r="M380" t="inlineStr">
        <is>
          <t>Completed</t>
        </is>
      </c>
      <c r="N380" t="inlineStr">
        <is>
          <t>Website</t>
        </is>
      </c>
    </row>
    <row r="381">
      <c r="A381" t="inlineStr">
        <is>
          <t>ORD00380</t>
        </is>
      </c>
      <c r="B381" s="13" t="n">
        <v>46107</v>
      </c>
      <c r="C381" t="inlineStr">
        <is>
          <t>C021</t>
        </is>
      </c>
      <c r="D381" t="inlineStr">
        <is>
          <t>P008</t>
        </is>
      </c>
      <c r="E381" t="n">
        <v>1</v>
      </c>
      <c r="F381" s="14" t="n">
        <v>4595</v>
      </c>
      <c r="G381" s="14" t="n">
        <v>2800</v>
      </c>
      <c r="H381" s="11" t="n">
        <v>0</v>
      </c>
      <c r="I381" s="14" t="n">
        <v>4595</v>
      </c>
      <c r="J381" s="14" t="n">
        <v>2800</v>
      </c>
      <c r="K381" s="14" t="n">
        <v>1795</v>
      </c>
      <c r="L381" t="inlineStr">
        <is>
          <t>Cash</t>
        </is>
      </c>
      <c r="M381" t="inlineStr">
        <is>
          <t>Completed</t>
        </is>
      </c>
      <c r="N381" t="inlineStr">
        <is>
          <t>Walk-in</t>
        </is>
      </c>
    </row>
    <row r="382">
      <c r="A382" t="inlineStr">
        <is>
          <t>ORD00381</t>
        </is>
      </c>
      <c r="B382" s="13" t="n">
        <v>46134</v>
      </c>
      <c r="C382" t="inlineStr">
        <is>
          <t>C025</t>
        </is>
      </c>
      <c r="D382" t="inlineStr">
        <is>
          <t>P002</t>
        </is>
      </c>
      <c r="E382" t="n">
        <v>3</v>
      </c>
      <c r="F382" s="14" t="n">
        <v>5495</v>
      </c>
      <c r="G382" s="14" t="n">
        <v>3500</v>
      </c>
      <c r="H382" s="11" t="n">
        <v>0</v>
      </c>
      <c r="I382" s="14" t="n">
        <v>16485</v>
      </c>
      <c r="J382" s="14" t="n">
        <v>10500</v>
      </c>
      <c r="K382" s="14" t="n">
        <v>5985</v>
      </c>
      <c r="L382" t="inlineStr">
        <is>
          <t>GCash</t>
        </is>
      </c>
      <c r="M382" t="inlineStr">
        <is>
          <t>Completed</t>
        </is>
      </c>
      <c r="N382" t="inlineStr">
        <is>
          <t>Walk-in</t>
        </is>
      </c>
    </row>
    <row r="383">
      <c r="A383" t="inlineStr">
        <is>
          <t>ORD00382</t>
        </is>
      </c>
      <c r="B383" s="13" t="n">
        <v>46202</v>
      </c>
      <c r="C383" t="inlineStr">
        <is>
          <t>C008</t>
        </is>
      </c>
      <c r="D383" t="inlineStr">
        <is>
          <t>P007</t>
        </is>
      </c>
      <c r="E383" t="n">
        <v>1</v>
      </c>
      <c r="F383" s="14" t="n">
        <v>5295</v>
      </c>
      <c r="G383" s="14" t="n">
        <v>3300</v>
      </c>
      <c r="H383" s="11" t="n">
        <v>0</v>
      </c>
      <c r="I383" s="14" t="n">
        <v>5295</v>
      </c>
      <c r="J383" s="14" t="n">
        <v>3300</v>
      </c>
      <c r="K383" s="14" t="n">
        <v>1995</v>
      </c>
      <c r="L383" t="inlineStr">
        <is>
          <t>Card</t>
        </is>
      </c>
      <c r="M383" t="inlineStr">
        <is>
          <t>Completed</t>
        </is>
      </c>
      <c r="N383" t="inlineStr">
        <is>
          <t>Facebook</t>
        </is>
      </c>
    </row>
    <row r="384">
      <c r="A384" t="inlineStr">
        <is>
          <t>ORD00383</t>
        </is>
      </c>
      <c r="B384" s="13" t="n">
        <v>46168</v>
      </c>
      <c r="C384" t="inlineStr">
        <is>
          <t>C029</t>
        </is>
      </c>
      <c r="D384" t="inlineStr">
        <is>
          <t>P012</t>
        </is>
      </c>
      <c r="E384" t="n">
        <v>1</v>
      </c>
      <c r="F384" s="14" t="n">
        <v>1595</v>
      </c>
      <c r="G384" s="14" t="n">
        <v>900</v>
      </c>
      <c r="H384" s="11" t="n">
        <v>0.1</v>
      </c>
      <c r="I384" s="14" t="n">
        <v>1435.5</v>
      </c>
      <c r="J384" s="14" t="n">
        <v>900</v>
      </c>
      <c r="K384" s="14" t="n">
        <v>535.5</v>
      </c>
      <c r="L384" t="inlineStr">
        <is>
          <t>Card</t>
        </is>
      </c>
      <c r="M384" t="inlineStr">
        <is>
          <t>Completed</t>
        </is>
      </c>
      <c r="N384" t="inlineStr">
        <is>
          <t>Facebook</t>
        </is>
      </c>
    </row>
    <row r="385">
      <c r="A385" t="inlineStr">
        <is>
          <t>ORD00384</t>
        </is>
      </c>
      <c r="B385" s="13" t="n">
        <v>46223</v>
      </c>
      <c r="C385" t="inlineStr">
        <is>
          <t>C016</t>
        </is>
      </c>
      <c r="D385" t="inlineStr">
        <is>
          <t>P005</t>
        </is>
      </c>
      <c r="E385" t="n">
        <v>2</v>
      </c>
      <c r="F385" s="14" t="n">
        <v>3695</v>
      </c>
      <c r="G385" s="14" t="n">
        <v>2100</v>
      </c>
      <c r="H385" s="11" t="n">
        <v>0</v>
      </c>
      <c r="I385" s="14" t="n">
        <v>7390</v>
      </c>
      <c r="J385" s="14" t="n">
        <v>4200</v>
      </c>
      <c r="K385" s="14" t="n">
        <v>3190</v>
      </c>
      <c r="L385" t="inlineStr">
        <is>
          <t>Maya</t>
        </is>
      </c>
      <c r="M385" t="inlineStr">
        <is>
          <t>Completed</t>
        </is>
      </c>
      <c r="N385" t="inlineStr">
        <is>
          <t>Walk-in</t>
        </is>
      </c>
    </row>
    <row r="386">
      <c r="A386" t="inlineStr">
        <is>
          <t>ORD00385</t>
        </is>
      </c>
      <c r="B386" s="13" t="n">
        <v>46059</v>
      </c>
      <c r="C386" t="inlineStr">
        <is>
          <t>C012</t>
        </is>
      </c>
      <c r="D386" t="inlineStr">
        <is>
          <t>P009</t>
        </is>
      </c>
      <c r="E386" t="n">
        <v>3</v>
      </c>
      <c r="F386" s="14" t="n">
        <v>5795</v>
      </c>
      <c r="G386" s="14" t="n">
        <v>3600</v>
      </c>
      <c r="H386" s="11" t="n">
        <v>0</v>
      </c>
      <c r="I386" s="14" t="n">
        <v>17385</v>
      </c>
      <c r="J386" s="14" t="n">
        <v>10800</v>
      </c>
      <c r="K386" s="14" t="n">
        <v>6585</v>
      </c>
      <c r="L386" t="inlineStr">
        <is>
          <t>Card</t>
        </is>
      </c>
      <c r="M386" t="inlineStr">
        <is>
          <t>Completed</t>
        </is>
      </c>
      <c r="N386" t="inlineStr">
        <is>
          <t>Walk-in</t>
        </is>
      </c>
    </row>
    <row r="387">
      <c r="A387" t="inlineStr">
        <is>
          <t>ORD00386</t>
        </is>
      </c>
      <c r="B387" s="13" t="n">
        <v>46210</v>
      </c>
      <c r="C387" t="inlineStr">
        <is>
          <t>C025</t>
        </is>
      </c>
      <c r="D387" t="inlineStr">
        <is>
          <t>P009</t>
        </is>
      </c>
      <c r="E387" t="n">
        <v>2</v>
      </c>
      <c r="F387" s="14" t="n">
        <v>5795</v>
      </c>
      <c r="G387" s="14" t="n">
        <v>3600</v>
      </c>
      <c r="H387" s="11" t="n">
        <v>0.03</v>
      </c>
      <c r="I387" s="14" t="n">
        <v>11242.3</v>
      </c>
      <c r="J387" s="14" t="n">
        <v>7200</v>
      </c>
      <c r="K387" s="14" t="n">
        <v>4042.299999999999</v>
      </c>
      <c r="L387" t="inlineStr">
        <is>
          <t>GCash</t>
        </is>
      </c>
      <c r="M387" t="inlineStr">
        <is>
          <t>Completed</t>
        </is>
      </c>
      <c r="N387" t="inlineStr">
        <is>
          <t>Website</t>
        </is>
      </c>
    </row>
    <row r="388">
      <c r="A388" t="inlineStr">
        <is>
          <t>ORD00387</t>
        </is>
      </c>
      <c r="B388" s="13" t="n">
        <v>46030</v>
      </c>
      <c r="C388" t="inlineStr">
        <is>
          <t>C026</t>
        </is>
      </c>
      <c r="D388" t="inlineStr">
        <is>
          <t>P005</t>
        </is>
      </c>
      <c r="E388" t="n">
        <v>1</v>
      </c>
      <c r="F388" s="14" t="n">
        <v>3695</v>
      </c>
      <c r="G388" s="14" t="n">
        <v>2100</v>
      </c>
      <c r="H388" s="11" t="n">
        <v>0</v>
      </c>
      <c r="I388" s="14" t="n">
        <v>3695</v>
      </c>
      <c r="J388" s="14" t="n">
        <v>2100</v>
      </c>
      <c r="K388" s="14" t="n">
        <v>1595</v>
      </c>
      <c r="L388" t="inlineStr">
        <is>
          <t>Maya</t>
        </is>
      </c>
      <c r="M388" t="inlineStr">
        <is>
          <t>Completed</t>
        </is>
      </c>
      <c r="N388" t="inlineStr">
        <is>
          <t>Walk-in</t>
        </is>
      </c>
    </row>
    <row r="389">
      <c r="A389" t="inlineStr">
        <is>
          <t>ORD00388</t>
        </is>
      </c>
      <c r="B389" s="13" t="n">
        <v>46239</v>
      </c>
      <c r="C389" t="inlineStr">
        <is>
          <t>C018</t>
        </is>
      </c>
      <c r="D389" t="inlineStr">
        <is>
          <t>P012</t>
        </is>
      </c>
      <c r="E389" t="n">
        <v>1</v>
      </c>
      <c r="F389" s="14" t="n">
        <v>1595</v>
      </c>
      <c r="G389" s="14" t="n">
        <v>900</v>
      </c>
      <c r="H389" s="11" t="n">
        <v>0.1</v>
      </c>
      <c r="I389" s="14" t="n">
        <v>1435.5</v>
      </c>
      <c r="J389" s="14" t="n">
        <v>900</v>
      </c>
      <c r="K389" s="14" t="n">
        <v>535.5</v>
      </c>
      <c r="L389" t="inlineStr">
        <is>
          <t>Cash</t>
        </is>
      </c>
      <c r="M389" t="inlineStr">
        <is>
          <t>Completed</t>
        </is>
      </c>
      <c r="N389" t="inlineStr">
        <is>
          <t>TikTok</t>
        </is>
      </c>
    </row>
    <row r="390">
      <c r="A390" t="inlineStr">
        <is>
          <t>ORD00389</t>
        </is>
      </c>
      <c r="B390" s="13" t="n">
        <v>46063</v>
      </c>
      <c r="C390" t="inlineStr">
        <is>
          <t>C018</t>
        </is>
      </c>
      <c r="D390" t="inlineStr">
        <is>
          <t>P009</t>
        </is>
      </c>
      <c r="E390" t="n">
        <v>3</v>
      </c>
      <c r="F390" s="14" t="n">
        <v>5795</v>
      </c>
      <c r="G390" s="14" t="n">
        <v>3600</v>
      </c>
      <c r="H390" s="11" t="n">
        <v>0</v>
      </c>
      <c r="I390" s="14" t="n">
        <v>17385</v>
      </c>
      <c r="J390" s="14" t="n">
        <v>10800</v>
      </c>
      <c r="K390" s="14" t="n">
        <v>6585</v>
      </c>
      <c r="L390" t="inlineStr">
        <is>
          <t>Card</t>
        </is>
      </c>
      <c r="M390" t="inlineStr">
        <is>
          <t>Completed</t>
        </is>
      </c>
      <c r="N390" t="inlineStr">
        <is>
          <t>Website</t>
        </is>
      </c>
    </row>
    <row r="391">
      <c r="A391" t="inlineStr">
        <is>
          <t>ORD00390</t>
        </is>
      </c>
      <c r="B391" s="13" t="n">
        <v>46181</v>
      </c>
      <c r="C391" t="inlineStr">
        <is>
          <t>C002</t>
        </is>
      </c>
      <c r="D391" t="inlineStr">
        <is>
          <t>P012</t>
        </is>
      </c>
      <c r="E391" t="n">
        <v>1</v>
      </c>
      <c r="F391" s="14" t="n">
        <v>1595</v>
      </c>
      <c r="G391" s="14" t="n">
        <v>900</v>
      </c>
      <c r="H391" s="11" t="n">
        <v>0</v>
      </c>
      <c r="I391" s="14" t="n">
        <v>1595</v>
      </c>
      <c r="J391" s="14" t="n">
        <v>900</v>
      </c>
      <c r="K391" s="14" t="n">
        <v>695</v>
      </c>
      <c r="L391" t="inlineStr">
        <is>
          <t>Cash</t>
        </is>
      </c>
      <c r="M391" t="inlineStr">
        <is>
          <t>Completed</t>
        </is>
      </c>
      <c r="N391" t="inlineStr">
        <is>
          <t>Walk-in</t>
        </is>
      </c>
    </row>
    <row r="392">
      <c r="A392" t="inlineStr">
        <is>
          <t>ORD00391</t>
        </is>
      </c>
      <c r="B392" s="13" t="n">
        <v>46082</v>
      </c>
      <c r="C392" t="inlineStr">
        <is>
          <t>C010</t>
        </is>
      </c>
      <c r="D392" t="inlineStr">
        <is>
          <t>P008</t>
        </is>
      </c>
      <c r="E392" t="n">
        <v>2</v>
      </c>
      <c r="F392" s="14" t="n">
        <v>4595</v>
      </c>
      <c r="G392" s="14" t="n">
        <v>2800</v>
      </c>
      <c r="H392" s="11" t="n">
        <v>0</v>
      </c>
      <c r="I392" s="14" t="n">
        <v>9190</v>
      </c>
      <c r="J392" s="14" t="n">
        <v>5600</v>
      </c>
      <c r="K392" s="14" t="n">
        <v>3590</v>
      </c>
      <c r="L392" t="inlineStr">
        <is>
          <t>Cash</t>
        </is>
      </c>
      <c r="M392" t="inlineStr">
        <is>
          <t>Completed</t>
        </is>
      </c>
      <c r="N392" t="inlineStr">
        <is>
          <t>Facebook</t>
        </is>
      </c>
    </row>
    <row r="393">
      <c r="A393" t="inlineStr">
        <is>
          <t>ORD00392</t>
        </is>
      </c>
      <c r="B393" s="13" t="n">
        <v>46028</v>
      </c>
      <c r="C393" t="inlineStr">
        <is>
          <t>C017</t>
        </is>
      </c>
      <c r="D393" t="inlineStr">
        <is>
          <t>P003</t>
        </is>
      </c>
      <c r="E393" t="n">
        <v>1</v>
      </c>
      <c r="F393" s="14" t="n">
        <v>5995</v>
      </c>
      <c r="G393" s="14" t="n">
        <v>3800</v>
      </c>
      <c r="H393" s="11" t="n">
        <v>0</v>
      </c>
      <c r="I393" s="14" t="n">
        <v>5995</v>
      </c>
      <c r="J393" s="14" t="n">
        <v>3800</v>
      </c>
      <c r="K393" s="14" t="n">
        <v>2195</v>
      </c>
      <c r="L393" t="inlineStr">
        <is>
          <t>Card</t>
        </is>
      </c>
      <c r="M393" t="inlineStr">
        <is>
          <t>Completed</t>
        </is>
      </c>
      <c r="N393" t="inlineStr">
        <is>
          <t>Facebook</t>
        </is>
      </c>
    </row>
    <row r="394">
      <c r="A394" t="inlineStr">
        <is>
          <t>ORD00393</t>
        </is>
      </c>
      <c r="B394" s="13" t="n">
        <v>46160</v>
      </c>
      <c r="C394" t="inlineStr">
        <is>
          <t>C011</t>
        </is>
      </c>
      <c r="D394" t="inlineStr">
        <is>
          <t>P012</t>
        </is>
      </c>
      <c r="E394" t="n">
        <v>3</v>
      </c>
      <c r="F394" s="14" t="n">
        <v>1595</v>
      </c>
      <c r="G394" s="14" t="n">
        <v>900</v>
      </c>
      <c r="H394" s="11" t="n">
        <v>0</v>
      </c>
      <c r="I394" s="14" t="n">
        <v>4785</v>
      </c>
      <c r="J394" s="14" t="n">
        <v>2700</v>
      </c>
      <c r="K394" s="14" t="n">
        <v>2085</v>
      </c>
      <c r="L394" t="inlineStr">
        <is>
          <t>Maya</t>
        </is>
      </c>
      <c r="M394" t="inlineStr">
        <is>
          <t>Completed</t>
        </is>
      </c>
      <c r="N394" t="inlineStr">
        <is>
          <t>Website</t>
        </is>
      </c>
    </row>
    <row r="395">
      <c r="A395" t="inlineStr">
        <is>
          <t>ORD00394</t>
        </is>
      </c>
      <c r="B395" s="13" t="n">
        <v>46157</v>
      </c>
      <c r="C395" t="inlineStr">
        <is>
          <t>C003</t>
        </is>
      </c>
      <c r="D395" t="inlineStr">
        <is>
          <t>P012</t>
        </is>
      </c>
      <c r="E395" t="n">
        <v>4</v>
      </c>
      <c r="F395" s="14" t="n">
        <v>1595</v>
      </c>
      <c r="G395" s="14" t="n">
        <v>900</v>
      </c>
      <c r="H395" s="11" t="n">
        <v>0.1</v>
      </c>
      <c r="I395" s="14" t="n">
        <v>5742</v>
      </c>
      <c r="J395" s="14" t="n">
        <v>3600</v>
      </c>
      <c r="K395" s="14" t="n">
        <v>2142</v>
      </c>
      <c r="L395" t="inlineStr">
        <is>
          <t>Maya</t>
        </is>
      </c>
      <c r="M395" t="inlineStr">
        <is>
          <t>Completed</t>
        </is>
      </c>
      <c r="N395" t="inlineStr">
        <is>
          <t>TikTok</t>
        </is>
      </c>
    </row>
    <row r="396">
      <c r="A396" t="inlineStr">
        <is>
          <t>ORD00395</t>
        </is>
      </c>
      <c r="B396" s="13" t="n">
        <v>46051</v>
      </c>
      <c r="C396" t="inlineStr">
        <is>
          <t>C012</t>
        </is>
      </c>
      <c r="D396" t="inlineStr">
        <is>
          <t>P008</t>
        </is>
      </c>
      <c r="E396" t="n">
        <v>2</v>
      </c>
      <c r="F396" s="14" t="n">
        <v>4595</v>
      </c>
      <c r="G396" s="14" t="n">
        <v>2800</v>
      </c>
      <c r="H396" s="11" t="n">
        <v>0</v>
      </c>
      <c r="I396" s="14" t="n">
        <v>9190</v>
      </c>
      <c r="J396" s="14" t="n">
        <v>5600</v>
      </c>
      <c r="K396" s="14" t="n">
        <v>3590</v>
      </c>
      <c r="L396" t="inlineStr">
        <is>
          <t>Cash</t>
        </is>
      </c>
      <c r="M396" t="inlineStr">
        <is>
          <t>Completed</t>
        </is>
      </c>
      <c r="N396" t="inlineStr">
        <is>
          <t>Website</t>
        </is>
      </c>
    </row>
    <row r="397">
      <c r="A397" t="inlineStr">
        <is>
          <t>ORD00396</t>
        </is>
      </c>
      <c r="B397" s="13" t="n">
        <v>46082</v>
      </c>
      <c r="C397" t="inlineStr">
        <is>
          <t>C002</t>
        </is>
      </c>
      <c r="D397" t="inlineStr">
        <is>
          <t>P004</t>
        </is>
      </c>
      <c r="E397" t="n">
        <v>2</v>
      </c>
      <c r="F397" s="14" t="n">
        <v>3995</v>
      </c>
      <c r="G397" s="14" t="n">
        <v>2200</v>
      </c>
      <c r="H397" s="11" t="n">
        <v>0</v>
      </c>
      <c r="I397" s="14" t="n">
        <v>7990</v>
      </c>
      <c r="J397" s="14" t="n">
        <v>4400</v>
      </c>
      <c r="K397" s="14" t="n">
        <v>3590</v>
      </c>
      <c r="L397" t="inlineStr">
        <is>
          <t>GCash</t>
        </is>
      </c>
      <c r="M397" t="inlineStr">
        <is>
          <t>Completed</t>
        </is>
      </c>
      <c r="N397" t="inlineStr">
        <is>
          <t>Walk-in</t>
        </is>
      </c>
    </row>
    <row r="398">
      <c r="A398" t="inlineStr">
        <is>
          <t>ORD00397</t>
        </is>
      </c>
      <c r="B398" s="13" t="n">
        <v>46209</v>
      </c>
      <c r="C398" t="inlineStr">
        <is>
          <t>C030</t>
        </is>
      </c>
      <c r="D398" t="inlineStr">
        <is>
          <t>P007</t>
        </is>
      </c>
      <c r="E398" t="n">
        <v>3</v>
      </c>
      <c r="F398" s="14" t="n">
        <v>5295</v>
      </c>
      <c r="G398" s="14" t="n">
        <v>3300</v>
      </c>
      <c r="H398" s="11" t="n">
        <v>0</v>
      </c>
      <c r="I398" s="14" t="n">
        <v>15885</v>
      </c>
      <c r="J398" s="14" t="n">
        <v>9900</v>
      </c>
      <c r="K398" s="14" t="n">
        <v>5985</v>
      </c>
      <c r="L398" t="inlineStr">
        <is>
          <t>GCash</t>
        </is>
      </c>
      <c r="M398" t="inlineStr">
        <is>
          <t>Completed</t>
        </is>
      </c>
      <c r="N398" t="inlineStr">
        <is>
          <t>Walk-in</t>
        </is>
      </c>
    </row>
    <row r="399">
      <c r="A399" t="inlineStr">
        <is>
          <t>ORD00398</t>
        </is>
      </c>
      <c r="B399" s="13" t="n">
        <v>46137</v>
      </c>
      <c r="C399" t="inlineStr">
        <is>
          <t>C011</t>
        </is>
      </c>
      <c r="D399" t="inlineStr">
        <is>
          <t>P006</t>
        </is>
      </c>
      <c r="E399" t="n">
        <v>1</v>
      </c>
      <c r="F399" s="14" t="n">
        <v>6295</v>
      </c>
      <c r="G399" s="14" t="n">
        <v>3900</v>
      </c>
      <c r="H399" s="11" t="n">
        <v>0.1</v>
      </c>
      <c r="I399" s="14" t="n">
        <v>5665.5</v>
      </c>
      <c r="J399" s="14" t="n">
        <v>3900</v>
      </c>
      <c r="K399" s="14" t="n">
        <v>1765.5</v>
      </c>
      <c r="L399" t="inlineStr">
        <is>
          <t>Card</t>
        </is>
      </c>
      <c r="M399" t="inlineStr">
        <is>
          <t>Completed</t>
        </is>
      </c>
      <c r="N399" t="inlineStr">
        <is>
          <t>TikTok</t>
        </is>
      </c>
    </row>
    <row r="400">
      <c r="A400" t="inlineStr">
        <is>
          <t>ORD00399</t>
        </is>
      </c>
      <c r="B400" s="13" t="n">
        <v>46084</v>
      </c>
      <c r="C400" t="inlineStr">
        <is>
          <t>C006</t>
        </is>
      </c>
      <c r="D400" t="inlineStr">
        <is>
          <t>P009</t>
        </is>
      </c>
      <c r="E400" t="n">
        <v>2</v>
      </c>
      <c r="F400" s="14" t="n">
        <v>5795</v>
      </c>
      <c r="G400" s="14" t="n">
        <v>3600</v>
      </c>
      <c r="H400" s="11" t="n">
        <v>0</v>
      </c>
      <c r="I400" s="14" t="n">
        <v>11590</v>
      </c>
      <c r="J400" s="14" t="n">
        <v>7200</v>
      </c>
      <c r="K400" s="14" t="n">
        <v>4390</v>
      </c>
      <c r="L400" t="inlineStr">
        <is>
          <t>Cash</t>
        </is>
      </c>
      <c r="M400" t="inlineStr">
        <is>
          <t>Completed</t>
        </is>
      </c>
      <c r="N400" t="inlineStr">
        <is>
          <t>Website</t>
        </is>
      </c>
    </row>
    <row r="401">
      <c r="A401" t="inlineStr">
        <is>
          <t>ORD00400</t>
        </is>
      </c>
      <c r="B401" s="13" t="n">
        <v>46228</v>
      </c>
      <c r="C401" t="inlineStr">
        <is>
          <t>C025</t>
        </is>
      </c>
      <c r="D401" t="inlineStr">
        <is>
          <t>P002</t>
        </is>
      </c>
      <c r="E401" t="n">
        <v>3</v>
      </c>
      <c r="F401" s="14" t="n">
        <v>5495</v>
      </c>
      <c r="G401" s="14" t="n">
        <v>3500</v>
      </c>
      <c r="H401" s="11" t="n">
        <v>0</v>
      </c>
      <c r="I401" s="14" t="n">
        <v>16485</v>
      </c>
      <c r="J401" s="14" t="n">
        <v>10500</v>
      </c>
      <c r="K401" s="14" t="n">
        <v>5985</v>
      </c>
      <c r="L401" t="inlineStr">
        <is>
          <t>Card</t>
        </is>
      </c>
      <c r="M401" t="inlineStr">
        <is>
          <t>Completed</t>
        </is>
      </c>
      <c r="N401" t="inlineStr">
        <is>
          <t>Walk-in</t>
        </is>
      </c>
    </row>
    <row r="402">
      <c r="A402" t="inlineStr">
        <is>
          <t>ORD00401</t>
        </is>
      </c>
      <c r="B402" s="13" t="n">
        <v>46027</v>
      </c>
      <c r="C402" t="inlineStr">
        <is>
          <t>C026</t>
        </is>
      </c>
      <c r="D402" t="inlineStr">
        <is>
          <t>P006</t>
        </is>
      </c>
      <c r="E402" t="n">
        <v>1</v>
      </c>
      <c r="F402" s="14" t="n">
        <v>6295</v>
      </c>
      <c r="G402" s="14" t="n">
        <v>3900</v>
      </c>
      <c r="H402" s="11" t="n">
        <v>0.05</v>
      </c>
      <c r="I402" s="14" t="n">
        <v>5980.25</v>
      </c>
      <c r="J402" s="14" t="n">
        <v>3900</v>
      </c>
      <c r="K402" s="14" t="n">
        <v>2080.25</v>
      </c>
      <c r="L402" t="inlineStr">
        <is>
          <t>Card</t>
        </is>
      </c>
      <c r="M402" t="inlineStr">
        <is>
          <t>Completed</t>
        </is>
      </c>
      <c r="N402" t="inlineStr">
        <is>
          <t>Facebook</t>
        </is>
      </c>
    </row>
    <row r="403">
      <c r="A403" t="inlineStr">
        <is>
          <t>ORD00402</t>
        </is>
      </c>
      <c r="B403" s="13" t="n">
        <v>46260</v>
      </c>
      <c r="C403" t="inlineStr">
        <is>
          <t>C025</t>
        </is>
      </c>
      <c r="D403" t="inlineStr">
        <is>
          <t>P006</t>
        </is>
      </c>
      <c r="E403" t="n">
        <v>1</v>
      </c>
      <c r="F403" s="14" t="n">
        <v>6295</v>
      </c>
      <c r="G403" s="14" t="n">
        <v>3900</v>
      </c>
      <c r="H403" s="11" t="n">
        <v>0.03</v>
      </c>
      <c r="I403" s="14" t="n">
        <v>6106.15</v>
      </c>
      <c r="J403" s="14" t="n">
        <v>3900</v>
      </c>
      <c r="K403" s="14" t="n">
        <v>2206.15</v>
      </c>
      <c r="L403" t="inlineStr">
        <is>
          <t>Cash</t>
        </is>
      </c>
      <c r="M403" t="inlineStr">
        <is>
          <t>Completed</t>
        </is>
      </c>
      <c r="N403" t="inlineStr">
        <is>
          <t>Facebook</t>
        </is>
      </c>
    </row>
    <row r="404">
      <c r="A404" t="inlineStr">
        <is>
          <t>ORD00403</t>
        </is>
      </c>
      <c r="B404" s="13" t="n">
        <v>46100</v>
      </c>
      <c r="C404" t="inlineStr">
        <is>
          <t>C008</t>
        </is>
      </c>
      <c r="D404" t="inlineStr">
        <is>
          <t>P001</t>
        </is>
      </c>
      <c r="E404" t="n">
        <v>3</v>
      </c>
      <c r="F404" s="14" t="n">
        <v>4995</v>
      </c>
      <c r="G404" s="14" t="n">
        <v>3200</v>
      </c>
      <c r="H404" s="11" t="n">
        <v>0</v>
      </c>
      <c r="I404" s="14" t="n">
        <v>14985</v>
      </c>
      <c r="J404" s="14" t="n">
        <v>9600</v>
      </c>
      <c r="K404" s="14" t="n">
        <v>5385</v>
      </c>
      <c r="L404" t="inlineStr">
        <is>
          <t>Card</t>
        </is>
      </c>
      <c r="M404" t="inlineStr">
        <is>
          <t>Completed</t>
        </is>
      </c>
      <c r="N404" t="inlineStr">
        <is>
          <t>Website</t>
        </is>
      </c>
    </row>
    <row r="405">
      <c r="A405" t="inlineStr">
        <is>
          <t>ORD00404</t>
        </is>
      </c>
      <c r="B405" s="13" t="n">
        <v>46194</v>
      </c>
      <c r="C405" t="inlineStr">
        <is>
          <t>C028</t>
        </is>
      </c>
      <c r="D405" t="inlineStr">
        <is>
          <t>P001</t>
        </is>
      </c>
      <c r="E405" t="n">
        <v>2</v>
      </c>
      <c r="F405" s="14" t="n">
        <v>4995</v>
      </c>
      <c r="G405" s="14" t="n">
        <v>3200</v>
      </c>
      <c r="H405" s="11" t="n">
        <v>0.03</v>
      </c>
      <c r="I405" s="14" t="n">
        <v>9690.299999999999</v>
      </c>
      <c r="J405" s="14" t="n">
        <v>6400</v>
      </c>
      <c r="K405" s="14" t="n">
        <v>3290.299999999999</v>
      </c>
      <c r="L405" t="inlineStr">
        <is>
          <t>Card</t>
        </is>
      </c>
      <c r="M405" t="inlineStr">
        <is>
          <t>Completed</t>
        </is>
      </c>
      <c r="N405" t="inlineStr">
        <is>
          <t>Facebook</t>
        </is>
      </c>
    </row>
    <row r="406">
      <c r="A406" t="inlineStr">
        <is>
          <t>ORD00405</t>
        </is>
      </c>
      <c r="B406" s="13" t="n">
        <v>46237</v>
      </c>
      <c r="C406" t="inlineStr">
        <is>
          <t>C023</t>
        </is>
      </c>
      <c r="D406" t="inlineStr">
        <is>
          <t>P008</t>
        </is>
      </c>
      <c r="E406" t="n">
        <v>3</v>
      </c>
      <c r="F406" s="14" t="n">
        <v>4595</v>
      </c>
      <c r="G406" s="14" t="n">
        <v>2800</v>
      </c>
      <c r="H406" s="11" t="n">
        <v>0</v>
      </c>
      <c r="I406" s="14" t="n">
        <v>13785</v>
      </c>
      <c r="J406" s="14" t="n">
        <v>8400</v>
      </c>
      <c r="K406" s="14" t="n">
        <v>5385</v>
      </c>
      <c r="L406" t="inlineStr">
        <is>
          <t>Card</t>
        </is>
      </c>
      <c r="M406" t="inlineStr">
        <is>
          <t>Completed</t>
        </is>
      </c>
      <c r="N406" t="inlineStr">
        <is>
          <t>Facebook</t>
        </is>
      </c>
    </row>
    <row r="407">
      <c r="A407" t="inlineStr">
        <is>
          <t>ORD00406</t>
        </is>
      </c>
      <c r="B407" s="13" t="n">
        <v>46289</v>
      </c>
      <c r="C407" t="inlineStr">
        <is>
          <t>C015</t>
        </is>
      </c>
      <c r="D407" t="inlineStr">
        <is>
          <t>P007</t>
        </is>
      </c>
      <c r="E407" t="n">
        <v>2</v>
      </c>
      <c r="F407" s="14" t="n">
        <v>5295</v>
      </c>
      <c r="G407" s="14" t="n">
        <v>3300</v>
      </c>
      <c r="H407" s="11" t="n">
        <v>0</v>
      </c>
      <c r="I407" s="14" t="n">
        <v>10590</v>
      </c>
      <c r="J407" s="14" t="n">
        <v>6600</v>
      </c>
      <c r="K407" s="14" t="n">
        <v>3990</v>
      </c>
      <c r="L407" t="inlineStr">
        <is>
          <t>GCash</t>
        </is>
      </c>
      <c r="M407" t="inlineStr">
        <is>
          <t>Completed</t>
        </is>
      </c>
      <c r="N407" t="inlineStr">
        <is>
          <t>Facebook</t>
        </is>
      </c>
    </row>
    <row r="408">
      <c r="A408" t="inlineStr">
        <is>
          <t>ORD00407</t>
        </is>
      </c>
      <c r="B408" s="13" t="n">
        <v>46224</v>
      </c>
      <c r="C408" t="inlineStr">
        <is>
          <t>C014</t>
        </is>
      </c>
      <c r="D408" t="inlineStr">
        <is>
          <t>P002</t>
        </is>
      </c>
      <c r="E408" t="n">
        <v>1</v>
      </c>
      <c r="F408" s="14" t="n">
        <v>5495</v>
      </c>
      <c r="G408" s="14" t="n">
        <v>3500</v>
      </c>
      <c r="H408" s="11" t="n">
        <v>0</v>
      </c>
      <c r="I408" s="14" t="n">
        <v>5495</v>
      </c>
      <c r="J408" s="14" t="n">
        <v>3500</v>
      </c>
      <c r="K408" s="14" t="n">
        <v>1995</v>
      </c>
      <c r="L408" t="inlineStr">
        <is>
          <t>Cash</t>
        </is>
      </c>
      <c r="M408" t="inlineStr">
        <is>
          <t>Completed</t>
        </is>
      </c>
      <c r="N408" t="inlineStr">
        <is>
          <t>TikTok</t>
        </is>
      </c>
    </row>
    <row r="409">
      <c r="A409" t="inlineStr">
        <is>
          <t>ORD00408</t>
        </is>
      </c>
      <c r="B409" s="13" t="n">
        <v>46184</v>
      </c>
      <c r="C409" t="inlineStr">
        <is>
          <t>C011</t>
        </is>
      </c>
      <c r="D409" t="inlineStr">
        <is>
          <t>P007</t>
        </is>
      </c>
      <c r="E409" t="n">
        <v>2</v>
      </c>
      <c r="F409" s="14" t="n">
        <v>5295</v>
      </c>
      <c r="G409" s="14" t="n">
        <v>3300</v>
      </c>
      <c r="H409" s="11" t="n">
        <v>0.1</v>
      </c>
      <c r="I409" s="14" t="n">
        <v>9531</v>
      </c>
      <c r="J409" s="14" t="n">
        <v>6600</v>
      </c>
      <c r="K409" s="14" t="n">
        <v>2931</v>
      </c>
      <c r="L409" t="inlineStr">
        <is>
          <t>Card</t>
        </is>
      </c>
      <c r="M409" t="inlineStr">
        <is>
          <t>Completed</t>
        </is>
      </c>
      <c r="N409" t="inlineStr">
        <is>
          <t>Facebook</t>
        </is>
      </c>
    </row>
    <row r="410">
      <c r="A410" t="inlineStr">
        <is>
          <t>ORD00409</t>
        </is>
      </c>
      <c r="B410" s="13" t="n">
        <v>46061</v>
      </c>
      <c r="C410" t="inlineStr">
        <is>
          <t>C004</t>
        </is>
      </c>
      <c r="D410" t="inlineStr">
        <is>
          <t>P004</t>
        </is>
      </c>
      <c r="E410" t="n">
        <v>1</v>
      </c>
      <c r="F410" s="14" t="n">
        <v>3995</v>
      </c>
      <c r="G410" s="14" t="n">
        <v>2200</v>
      </c>
      <c r="H410" s="11" t="n">
        <v>0.05</v>
      </c>
      <c r="I410" s="14" t="n">
        <v>3795.25</v>
      </c>
      <c r="J410" s="14" t="n">
        <v>2200</v>
      </c>
      <c r="K410" s="14" t="n">
        <v>1595.25</v>
      </c>
      <c r="L410" t="inlineStr">
        <is>
          <t>Cash</t>
        </is>
      </c>
      <c r="M410" t="inlineStr">
        <is>
          <t>Completed</t>
        </is>
      </c>
      <c r="N410" t="inlineStr">
        <is>
          <t>Walk-in</t>
        </is>
      </c>
    </row>
    <row r="411">
      <c r="A411" t="inlineStr">
        <is>
          <t>ORD00410</t>
        </is>
      </c>
      <c r="B411" s="13" t="n">
        <v>46261</v>
      </c>
      <c r="C411" t="inlineStr">
        <is>
          <t>C012</t>
        </is>
      </c>
      <c r="D411" t="inlineStr">
        <is>
          <t>P006</t>
        </is>
      </c>
      <c r="E411" t="n">
        <v>1</v>
      </c>
      <c r="F411" s="14" t="n">
        <v>6295</v>
      </c>
      <c r="G411" s="14" t="n">
        <v>3900</v>
      </c>
      <c r="H411" s="11" t="n">
        <v>0.05</v>
      </c>
      <c r="I411" s="14" t="n">
        <v>5980.25</v>
      </c>
      <c r="J411" s="14" t="n">
        <v>3900</v>
      </c>
      <c r="K411" s="14" t="n">
        <v>2080.25</v>
      </c>
      <c r="L411" t="inlineStr">
        <is>
          <t>Cash</t>
        </is>
      </c>
      <c r="M411" t="inlineStr">
        <is>
          <t>Completed</t>
        </is>
      </c>
      <c r="N411" t="inlineStr">
        <is>
          <t>Walk-in</t>
        </is>
      </c>
    </row>
    <row r="412">
      <c r="A412" t="inlineStr">
        <is>
          <t>ORD00411</t>
        </is>
      </c>
      <c r="B412" s="13" t="n">
        <v>46158</v>
      </c>
      <c r="C412" t="inlineStr">
        <is>
          <t>C010</t>
        </is>
      </c>
      <c r="D412" t="inlineStr">
        <is>
          <t>P002</t>
        </is>
      </c>
      <c r="E412" t="n">
        <v>1</v>
      </c>
      <c r="F412" s="14" t="n">
        <v>5495</v>
      </c>
      <c r="G412" s="14" t="n">
        <v>3500</v>
      </c>
      <c r="H412" s="11" t="n">
        <v>0.1</v>
      </c>
      <c r="I412" s="14" t="n">
        <v>4945.5</v>
      </c>
      <c r="J412" s="14" t="n">
        <v>3500</v>
      </c>
      <c r="K412" s="14" t="n">
        <v>1445.5</v>
      </c>
      <c r="L412" t="inlineStr">
        <is>
          <t>GCash</t>
        </is>
      </c>
      <c r="M412" t="inlineStr">
        <is>
          <t>Completed</t>
        </is>
      </c>
      <c r="N412" t="inlineStr">
        <is>
          <t>TikTok</t>
        </is>
      </c>
    </row>
    <row r="413">
      <c r="A413" t="inlineStr">
        <is>
          <t>ORD00412</t>
        </is>
      </c>
      <c r="B413" s="13" t="n">
        <v>46098</v>
      </c>
      <c r="C413" t="inlineStr">
        <is>
          <t>C013</t>
        </is>
      </c>
      <c r="D413" t="inlineStr">
        <is>
          <t>P002</t>
        </is>
      </c>
      <c r="E413" t="n">
        <v>2</v>
      </c>
      <c r="F413" s="14" t="n">
        <v>5495</v>
      </c>
      <c r="G413" s="14" t="n">
        <v>3500</v>
      </c>
      <c r="H413" s="11" t="n">
        <v>0</v>
      </c>
      <c r="I413" s="14" t="n">
        <v>10990</v>
      </c>
      <c r="J413" s="14" t="n">
        <v>7000</v>
      </c>
      <c r="K413" s="14" t="n">
        <v>3990</v>
      </c>
      <c r="L413" t="inlineStr">
        <is>
          <t>GCash</t>
        </is>
      </c>
      <c r="M413" t="inlineStr">
        <is>
          <t>Completed</t>
        </is>
      </c>
      <c r="N413" t="inlineStr">
        <is>
          <t>TikTok</t>
        </is>
      </c>
    </row>
    <row r="414">
      <c r="A414" t="inlineStr">
        <is>
          <t>ORD00413</t>
        </is>
      </c>
      <c r="B414" s="13" t="n">
        <v>46112</v>
      </c>
      <c r="C414" t="inlineStr">
        <is>
          <t>C018</t>
        </is>
      </c>
      <c r="D414" t="inlineStr">
        <is>
          <t>P001</t>
        </is>
      </c>
      <c r="E414" t="n">
        <v>3</v>
      </c>
      <c r="F414" s="14" t="n">
        <v>4995</v>
      </c>
      <c r="G414" s="14" t="n">
        <v>3200</v>
      </c>
      <c r="H414" s="11" t="n">
        <v>0.03</v>
      </c>
      <c r="I414" s="14" t="n">
        <v>14535.45</v>
      </c>
      <c r="J414" s="14" t="n">
        <v>9600</v>
      </c>
      <c r="K414" s="14" t="n">
        <v>4935.449999999999</v>
      </c>
      <c r="L414" t="inlineStr">
        <is>
          <t>Cash</t>
        </is>
      </c>
      <c r="M414" t="inlineStr">
        <is>
          <t>Completed</t>
        </is>
      </c>
      <c r="N414" t="inlineStr">
        <is>
          <t>Website</t>
        </is>
      </c>
    </row>
    <row r="415">
      <c r="A415" t="inlineStr">
        <is>
          <t>ORD00414</t>
        </is>
      </c>
      <c r="B415" s="13" t="n">
        <v>46094</v>
      </c>
      <c r="C415" t="inlineStr">
        <is>
          <t>C005</t>
        </is>
      </c>
      <c r="D415" t="inlineStr">
        <is>
          <t>P002</t>
        </is>
      </c>
      <c r="E415" t="n">
        <v>1</v>
      </c>
      <c r="F415" s="14" t="n">
        <v>5495</v>
      </c>
      <c r="G415" s="14" t="n">
        <v>3500</v>
      </c>
      <c r="H415" s="11" t="n">
        <v>0</v>
      </c>
      <c r="I415" s="14" t="n">
        <v>5495</v>
      </c>
      <c r="J415" s="14" t="n">
        <v>3500</v>
      </c>
      <c r="K415" s="14" t="n">
        <v>1995</v>
      </c>
      <c r="L415" t="inlineStr">
        <is>
          <t>Cash</t>
        </is>
      </c>
      <c r="M415" t="inlineStr">
        <is>
          <t>Completed</t>
        </is>
      </c>
      <c r="N415" t="inlineStr">
        <is>
          <t>TikTok</t>
        </is>
      </c>
    </row>
    <row r="416">
      <c r="A416" t="inlineStr">
        <is>
          <t>ORD00415</t>
        </is>
      </c>
      <c r="B416" s="13" t="n">
        <v>46066</v>
      </c>
      <c r="C416" t="inlineStr">
        <is>
          <t>C001</t>
        </is>
      </c>
      <c r="D416" t="inlineStr">
        <is>
          <t>P010</t>
        </is>
      </c>
      <c r="E416" t="n">
        <v>1</v>
      </c>
      <c r="F416" s="14" t="n">
        <v>4495</v>
      </c>
      <c r="G416" s="14" t="n">
        <v>2600</v>
      </c>
      <c r="H416" s="11" t="n">
        <v>0</v>
      </c>
      <c r="I416" s="14" t="n">
        <v>4495</v>
      </c>
      <c r="J416" s="14" t="n">
        <v>2600</v>
      </c>
      <c r="K416" s="14" t="n">
        <v>1895</v>
      </c>
      <c r="L416" t="inlineStr">
        <is>
          <t>GCash</t>
        </is>
      </c>
      <c r="M416" t="inlineStr">
        <is>
          <t>Completed</t>
        </is>
      </c>
      <c r="N416" t="inlineStr">
        <is>
          <t>Walk-in</t>
        </is>
      </c>
    </row>
    <row r="417">
      <c r="A417" t="inlineStr">
        <is>
          <t>ORD00416</t>
        </is>
      </c>
      <c r="B417" s="13" t="n">
        <v>46088</v>
      </c>
      <c r="C417" t="inlineStr">
        <is>
          <t>C004</t>
        </is>
      </c>
      <c r="D417" t="inlineStr">
        <is>
          <t>P002</t>
        </is>
      </c>
      <c r="E417" t="n">
        <v>3</v>
      </c>
      <c r="F417" s="14" t="n">
        <v>5495</v>
      </c>
      <c r="G417" s="14" t="n">
        <v>3500</v>
      </c>
      <c r="H417" s="11" t="n">
        <v>0</v>
      </c>
      <c r="I417" s="14" t="n">
        <v>16485</v>
      </c>
      <c r="J417" s="14" t="n">
        <v>10500</v>
      </c>
      <c r="K417" s="14" t="n">
        <v>5985</v>
      </c>
      <c r="L417" t="inlineStr">
        <is>
          <t>GCash</t>
        </is>
      </c>
      <c r="M417" t="inlineStr">
        <is>
          <t>Completed</t>
        </is>
      </c>
      <c r="N417" t="inlineStr">
        <is>
          <t>Website</t>
        </is>
      </c>
    </row>
    <row r="418">
      <c r="A418" t="inlineStr">
        <is>
          <t>ORD00417</t>
        </is>
      </c>
      <c r="B418" s="13" t="n">
        <v>46109</v>
      </c>
      <c r="C418" t="inlineStr">
        <is>
          <t>C013</t>
        </is>
      </c>
      <c r="D418" t="inlineStr">
        <is>
          <t>P010</t>
        </is>
      </c>
      <c r="E418" t="n">
        <v>1</v>
      </c>
      <c r="F418" s="14" t="n">
        <v>4495</v>
      </c>
      <c r="G418" s="14" t="n">
        <v>2600</v>
      </c>
      <c r="H418" s="11" t="n">
        <v>0.1</v>
      </c>
      <c r="I418" s="14" t="n">
        <v>4045.5</v>
      </c>
      <c r="J418" s="14" t="n">
        <v>2600</v>
      </c>
      <c r="K418" s="14" t="n">
        <v>1445.5</v>
      </c>
      <c r="L418" t="inlineStr">
        <is>
          <t>Maya</t>
        </is>
      </c>
      <c r="M418" t="inlineStr">
        <is>
          <t>Completed</t>
        </is>
      </c>
      <c r="N418" t="inlineStr">
        <is>
          <t>Walk-in</t>
        </is>
      </c>
    </row>
    <row r="419">
      <c r="A419" t="inlineStr">
        <is>
          <t>ORD00418</t>
        </is>
      </c>
      <c r="B419" s="13" t="n">
        <v>46111</v>
      </c>
      <c r="C419" t="inlineStr">
        <is>
          <t>C009</t>
        </is>
      </c>
      <c r="D419" t="inlineStr">
        <is>
          <t>P006</t>
        </is>
      </c>
      <c r="E419" t="n">
        <v>1</v>
      </c>
      <c r="F419" s="14" t="n">
        <v>6295</v>
      </c>
      <c r="G419" s="14" t="n">
        <v>3900</v>
      </c>
      <c r="H419" s="11" t="n">
        <v>0</v>
      </c>
      <c r="I419" s="14" t="n">
        <v>6295</v>
      </c>
      <c r="J419" s="14" t="n">
        <v>3900</v>
      </c>
      <c r="K419" s="14" t="n">
        <v>2395</v>
      </c>
      <c r="L419" t="inlineStr">
        <is>
          <t>Card</t>
        </is>
      </c>
      <c r="M419" t="inlineStr">
        <is>
          <t>Completed</t>
        </is>
      </c>
      <c r="N419" t="inlineStr">
        <is>
          <t>Facebook</t>
        </is>
      </c>
    </row>
    <row r="420">
      <c r="A420" t="inlineStr">
        <is>
          <t>ORD00419</t>
        </is>
      </c>
      <c r="B420" s="13" t="n">
        <v>46040</v>
      </c>
      <c r="C420" t="inlineStr">
        <is>
          <t>C021</t>
        </is>
      </c>
      <c r="D420" t="inlineStr">
        <is>
          <t>P010</t>
        </is>
      </c>
      <c r="E420" t="n">
        <v>2</v>
      </c>
      <c r="F420" s="14" t="n">
        <v>4495</v>
      </c>
      <c r="G420" s="14" t="n">
        <v>2600</v>
      </c>
      <c r="H420" s="11" t="n">
        <v>0</v>
      </c>
      <c r="I420" s="14" t="n">
        <v>8990</v>
      </c>
      <c r="J420" s="14" t="n">
        <v>5200</v>
      </c>
      <c r="K420" s="14" t="n">
        <v>3790</v>
      </c>
      <c r="L420" t="inlineStr">
        <is>
          <t>Card</t>
        </is>
      </c>
      <c r="M420" t="inlineStr">
        <is>
          <t>Completed</t>
        </is>
      </c>
      <c r="N420" t="inlineStr">
        <is>
          <t>Walk-in</t>
        </is>
      </c>
    </row>
    <row r="421">
      <c r="A421" t="inlineStr">
        <is>
          <t>ORD00420</t>
        </is>
      </c>
      <c r="B421" s="13" t="n">
        <v>46054</v>
      </c>
      <c r="C421" t="inlineStr">
        <is>
          <t>C014</t>
        </is>
      </c>
      <c r="D421" t="inlineStr">
        <is>
          <t>P002</t>
        </is>
      </c>
      <c r="E421" t="n">
        <v>1</v>
      </c>
      <c r="F421" s="14" t="n">
        <v>5495</v>
      </c>
      <c r="G421" s="14" t="n">
        <v>3500</v>
      </c>
      <c r="H421" s="11" t="n">
        <v>0</v>
      </c>
      <c r="I421" s="14" t="n">
        <v>5495</v>
      </c>
      <c r="J421" s="14" t="n">
        <v>3500</v>
      </c>
      <c r="K421" s="14" t="n">
        <v>1995</v>
      </c>
      <c r="L421" t="inlineStr">
        <is>
          <t>Cash</t>
        </is>
      </c>
      <c r="M421" t="inlineStr">
        <is>
          <t>Completed</t>
        </is>
      </c>
      <c r="N421" t="inlineStr">
        <is>
          <t>Facebook</t>
        </is>
      </c>
    </row>
    <row r="422">
      <c r="A422" t="inlineStr">
        <is>
          <t>ORD00421</t>
        </is>
      </c>
      <c r="B422" s="13" t="n">
        <v>46301</v>
      </c>
      <c r="C422" t="inlineStr">
        <is>
          <t>C012</t>
        </is>
      </c>
      <c r="D422" t="inlineStr">
        <is>
          <t>P001</t>
        </is>
      </c>
      <c r="E422" t="n">
        <v>4</v>
      </c>
      <c r="F422" s="14" t="n">
        <v>4995</v>
      </c>
      <c r="G422" s="14" t="n">
        <v>3200</v>
      </c>
      <c r="H422" s="11" t="n">
        <v>0.1</v>
      </c>
      <c r="I422" s="14" t="n">
        <v>17982</v>
      </c>
      <c r="J422" s="14" t="n">
        <v>12800</v>
      </c>
      <c r="K422" s="14" t="n">
        <v>5182</v>
      </c>
      <c r="L422" t="inlineStr">
        <is>
          <t>Maya</t>
        </is>
      </c>
      <c r="M422" t="inlineStr">
        <is>
          <t>Completed</t>
        </is>
      </c>
      <c r="N422" t="inlineStr">
        <is>
          <t>Walk-in</t>
        </is>
      </c>
    </row>
    <row r="423">
      <c r="A423" t="inlineStr">
        <is>
          <t>ORD00422</t>
        </is>
      </c>
      <c r="B423" s="13" t="n">
        <v>46199</v>
      </c>
      <c r="C423" t="inlineStr">
        <is>
          <t>C009</t>
        </is>
      </c>
      <c r="D423" t="inlineStr">
        <is>
          <t>P010</t>
        </is>
      </c>
      <c r="E423" t="n">
        <v>1</v>
      </c>
      <c r="F423" s="14" t="n">
        <v>4495</v>
      </c>
      <c r="G423" s="14" t="n">
        <v>2600</v>
      </c>
      <c r="H423" s="11" t="n">
        <v>0.03</v>
      </c>
      <c r="I423" s="14" t="n">
        <v>4360.15</v>
      </c>
      <c r="J423" s="14" t="n">
        <v>2600</v>
      </c>
      <c r="K423" s="14" t="n">
        <v>1760.15</v>
      </c>
      <c r="L423" t="inlineStr">
        <is>
          <t>Cash</t>
        </is>
      </c>
      <c r="M423" t="inlineStr">
        <is>
          <t>Completed</t>
        </is>
      </c>
      <c r="N423" t="inlineStr">
        <is>
          <t>Facebook</t>
        </is>
      </c>
    </row>
    <row r="424">
      <c r="A424" t="inlineStr">
        <is>
          <t>ORD00423</t>
        </is>
      </c>
      <c r="B424" s="13" t="n">
        <v>46038</v>
      </c>
      <c r="C424" t="inlineStr">
        <is>
          <t>C017</t>
        </is>
      </c>
      <c r="D424" t="inlineStr">
        <is>
          <t>P005</t>
        </is>
      </c>
      <c r="E424" t="n">
        <v>1</v>
      </c>
      <c r="F424" s="14" t="n">
        <v>3695</v>
      </c>
      <c r="G424" s="14" t="n">
        <v>2100</v>
      </c>
      <c r="H424" s="11" t="n">
        <v>0.03</v>
      </c>
      <c r="I424" s="14" t="n">
        <v>3584.15</v>
      </c>
      <c r="J424" s="14" t="n">
        <v>2100</v>
      </c>
      <c r="K424" s="14" t="n">
        <v>1484.15</v>
      </c>
      <c r="L424" t="inlineStr">
        <is>
          <t>Card</t>
        </is>
      </c>
      <c r="M424" t="inlineStr">
        <is>
          <t>Completed</t>
        </is>
      </c>
      <c r="N424" t="inlineStr">
        <is>
          <t>Facebook</t>
        </is>
      </c>
    </row>
    <row r="425">
      <c r="A425" t="inlineStr">
        <is>
          <t>ORD00424</t>
        </is>
      </c>
      <c r="B425" s="13" t="n">
        <v>46104</v>
      </c>
      <c r="C425" t="inlineStr">
        <is>
          <t>C009</t>
        </is>
      </c>
      <c r="D425" t="inlineStr">
        <is>
          <t>P002</t>
        </is>
      </c>
      <c r="E425" t="n">
        <v>1</v>
      </c>
      <c r="F425" s="14" t="n">
        <v>5495</v>
      </c>
      <c r="G425" s="14" t="n">
        <v>3500</v>
      </c>
      <c r="H425" s="11" t="n">
        <v>0</v>
      </c>
      <c r="I425" s="14" t="n">
        <v>5495</v>
      </c>
      <c r="J425" s="14" t="n">
        <v>3500</v>
      </c>
      <c r="K425" s="14" t="n">
        <v>1995</v>
      </c>
      <c r="L425" t="inlineStr">
        <is>
          <t>GCash</t>
        </is>
      </c>
      <c r="M425" t="inlineStr">
        <is>
          <t>Completed</t>
        </is>
      </c>
      <c r="N425" t="inlineStr">
        <is>
          <t>Facebook</t>
        </is>
      </c>
    </row>
    <row r="426">
      <c r="A426" t="inlineStr">
        <is>
          <t>ORD00425</t>
        </is>
      </c>
      <c r="B426" s="13" t="n">
        <v>46221</v>
      </c>
      <c r="C426" t="inlineStr">
        <is>
          <t>C006</t>
        </is>
      </c>
      <c r="D426" t="inlineStr">
        <is>
          <t>P006</t>
        </is>
      </c>
      <c r="E426" t="n">
        <v>3</v>
      </c>
      <c r="F426" s="14" t="n">
        <v>6295</v>
      </c>
      <c r="G426" s="14" t="n">
        <v>3900</v>
      </c>
      <c r="H426" s="11" t="n">
        <v>0</v>
      </c>
      <c r="I426" s="14" t="n">
        <v>18885</v>
      </c>
      <c r="J426" s="14" t="n">
        <v>11700</v>
      </c>
      <c r="K426" s="14" t="n">
        <v>7185</v>
      </c>
      <c r="L426" t="inlineStr">
        <is>
          <t>Cash</t>
        </is>
      </c>
      <c r="M426" t="inlineStr">
        <is>
          <t>Completed</t>
        </is>
      </c>
      <c r="N426" t="inlineStr">
        <is>
          <t>TikTok</t>
        </is>
      </c>
    </row>
    <row r="427">
      <c r="A427" t="inlineStr">
        <is>
          <t>ORD00426</t>
        </is>
      </c>
      <c r="B427" s="13" t="n">
        <v>46037</v>
      </c>
      <c r="C427" t="inlineStr">
        <is>
          <t>C019</t>
        </is>
      </c>
      <c r="D427" t="inlineStr">
        <is>
          <t>P012</t>
        </is>
      </c>
      <c r="E427" t="n">
        <v>2</v>
      </c>
      <c r="F427" s="14" t="n">
        <v>1595</v>
      </c>
      <c r="G427" s="14" t="n">
        <v>900</v>
      </c>
      <c r="H427" s="11" t="n">
        <v>0.05</v>
      </c>
      <c r="I427" s="14" t="n">
        <v>3030.5</v>
      </c>
      <c r="J427" s="14" t="n">
        <v>1800</v>
      </c>
      <c r="K427" s="14" t="n">
        <v>1230.5</v>
      </c>
      <c r="L427" t="inlineStr">
        <is>
          <t>Cash</t>
        </is>
      </c>
      <c r="M427" t="inlineStr">
        <is>
          <t>Completed</t>
        </is>
      </c>
      <c r="N427" t="inlineStr">
        <is>
          <t>Facebook</t>
        </is>
      </c>
    </row>
    <row r="428">
      <c r="A428" t="inlineStr">
        <is>
          <t>ORD00427</t>
        </is>
      </c>
      <c r="B428" s="13" t="n">
        <v>46275</v>
      </c>
      <c r="C428" t="inlineStr">
        <is>
          <t>C002</t>
        </is>
      </c>
      <c r="D428" t="inlineStr">
        <is>
          <t>P009</t>
        </is>
      </c>
      <c r="E428" t="n">
        <v>1</v>
      </c>
      <c r="F428" s="14" t="n">
        <v>5795</v>
      </c>
      <c r="G428" s="14" t="n">
        <v>3600</v>
      </c>
      <c r="H428" s="11" t="n">
        <v>0.03</v>
      </c>
      <c r="I428" s="14" t="n">
        <v>5621.15</v>
      </c>
      <c r="J428" s="14" t="n">
        <v>3600</v>
      </c>
      <c r="K428" s="14" t="n">
        <v>2021.15</v>
      </c>
      <c r="L428" t="inlineStr">
        <is>
          <t>GCash</t>
        </is>
      </c>
      <c r="M428" t="inlineStr">
        <is>
          <t>Completed</t>
        </is>
      </c>
      <c r="N428" t="inlineStr">
        <is>
          <t>Facebook</t>
        </is>
      </c>
    </row>
    <row r="429">
      <c r="A429" t="inlineStr">
        <is>
          <t>ORD00428</t>
        </is>
      </c>
      <c r="B429" s="13" t="n">
        <v>46033</v>
      </c>
      <c r="C429" t="inlineStr">
        <is>
          <t>C030</t>
        </is>
      </c>
      <c r="D429" t="inlineStr">
        <is>
          <t>P009</t>
        </is>
      </c>
      <c r="E429" t="n">
        <v>1</v>
      </c>
      <c r="F429" s="14" t="n">
        <v>5795</v>
      </c>
      <c r="G429" s="14" t="n">
        <v>3600</v>
      </c>
      <c r="H429" s="11" t="n">
        <v>0</v>
      </c>
      <c r="I429" s="14" t="n">
        <v>5795</v>
      </c>
      <c r="J429" s="14" t="n">
        <v>3600</v>
      </c>
      <c r="K429" s="14" t="n">
        <v>2195</v>
      </c>
      <c r="L429" t="inlineStr">
        <is>
          <t>Cash</t>
        </is>
      </c>
      <c r="M429" t="inlineStr">
        <is>
          <t>Completed</t>
        </is>
      </c>
      <c r="N429" t="inlineStr">
        <is>
          <t>TikTok</t>
        </is>
      </c>
    </row>
    <row r="430">
      <c r="A430" t="inlineStr">
        <is>
          <t>ORD00429</t>
        </is>
      </c>
      <c r="B430" s="13" t="n">
        <v>46113</v>
      </c>
      <c r="C430" t="inlineStr">
        <is>
          <t>C019</t>
        </is>
      </c>
      <c r="D430" t="inlineStr">
        <is>
          <t>P006</t>
        </is>
      </c>
      <c r="E430" t="n">
        <v>1</v>
      </c>
      <c r="F430" s="14" t="n">
        <v>6295</v>
      </c>
      <c r="G430" s="14" t="n">
        <v>3900</v>
      </c>
      <c r="H430" s="11" t="n">
        <v>0</v>
      </c>
      <c r="I430" s="14" t="n">
        <v>6295</v>
      </c>
      <c r="J430" s="14" t="n">
        <v>3900</v>
      </c>
      <c r="K430" s="14" t="n">
        <v>2395</v>
      </c>
      <c r="L430" t="inlineStr">
        <is>
          <t>Cash</t>
        </is>
      </c>
      <c r="M430" t="inlineStr">
        <is>
          <t>Completed</t>
        </is>
      </c>
      <c r="N430" t="inlineStr">
        <is>
          <t>TikTok</t>
        </is>
      </c>
    </row>
    <row r="431">
      <c r="A431" t="inlineStr">
        <is>
          <t>ORD00430</t>
        </is>
      </c>
      <c r="B431" s="13" t="n">
        <v>46060</v>
      </c>
      <c r="C431" t="inlineStr">
        <is>
          <t>C013</t>
        </is>
      </c>
      <c r="D431" t="inlineStr">
        <is>
          <t>P006</t>
        </is>
      </c>
      <c r="E431" t="n">
        <v>2</v>
      </c>
      <c r="F431" s="14" t="n">
        <v>6295</v>
      </c>
      <c r="G431" s="14" t="n">
        <v>3900</v>
      </c>
      <c r="H431" s="11" t="n">
        <v>0.1</v>
      </c>
      <c r="I431" s="14" t="n">
        <v>11331</v>
      </c>
      <c r="J431" s="14" t="n">
        <v>7800</v>
      </c>
      <c r="K431" s="14" t="n">
        <v>3531</v>
      </c>
      <c r="L431" t="inlineStr">
        <is>
          <t>GCash</t>
        </is>
      </c>
      <c r="M431" t="inlineStr">
        <is>
          <t>Completed</t>
        </is>
      </c>
      <c r="N431" t="inlineStr">
        <is>
          <t>TikTok</t>
        </is>
      </c>
    </row>
    <row r="432">
      <c r="A432" t="inlineStr">
        <is>
          <t>ORD00431</t>
        </is>
      </c>
      <c r="B432" s="13" t="n">
        <v>46092</v>
      </c>
      <c r="C432" t="inlineStr">
        <is>
          <t>C026</t>
        </is>
      </c>
      <c r="D432" t="inlineStr">
        <is>
          <t>P003</t>
        </is>
      </c>
      <c r="E432" t="n">
        <v>2</v>
      </c>
      <c r="F432" s="14" t="n">
        <v>5995</v>
      </c>
      <c r="G432" s="14" t="n">
        <v>3800</v>
      </c>
      <c r="H432" s="11" t="n">
        <v>0.03</v>
      </c>
      <c r="I432" s="14" t="n">
        <v>11630.3</v>
      </c>
      <c r="J432" s="14" t="n">
        <v>7600</v>
      </c>
      <c r="K432" s="14" t="n">
        <v>4030.299999999999</v>
      </c>
      <c r="L432" t="inlineStr">
        <is>
          <t>Maya</t>
        </is>
      </c>
      <c r="M432" t="inlineStr">
        <is>
          <t>Completed</t>
        </is>
      </c>
      <c r="N432" t="inlineStr">
        <is>
          <t>Facebook</t>
        </is>
      </c>
    </row>
    <row r="433">
      <c r="A433" t="inlineStr">
        <is>
          <t>ORD00432</t>
        </is>
      </c>
      <c r="B433" s="13" t="n">
        <v>46205</v>
      </c>
      <c r="C433" t="inlineStr">
        <is>
          <t>C013</t>
        </is>
      </c>
      <c r="D433" t="inlineStr">
        <is>
          <t>P004</t>
        </is>
      </c>
      <c r="E433" t="n">
        <v>2</v>
      </c>
      <c r="F433" s="14" t="n">
        <v>3995</v>
      </c>
      <c r="G433" s="14" t="n">
        <v>2200</v>
      </c>
      <c r="H433" s="11" t="n">
        <v>0</v>
      </c>
      <c r="I433" s="14" t="n">
        <v>7990</v>
      </c>
      <c r="J433" s="14" t="n">
        <v>4400</v>
      </c>
      <c r="K433" s="14" t="n">
        <v>3590</v>
      </c>
      <c r="L433" t="inlineStr">
        <is>
          <t>Card</t>
        </is>
      </c>
      <c r="M433" t="inlineStr">
        <is>
          <t>Completed</t>
        </is>
      </c>
      <c r="N433" t="inlineStr">
        <is>
          <t>TikTok</t>
        </is>
      </c>
    </row>
    <row r="434">
      <c r="A434" t="inlineStr">
        <is>
          <t>ORD00433</t>
        </is>
      </c>
      <c r="B434" s="13" t="n">
        <v>46088</v>
      </c>
      <c r="C434" t="inlineStr">
        <is>
          <t>C019</t>
        </is>
      </c>
      <c r="D434" t="inlineStr">
        <is>
          <t>P003</t>
        </is>
      </c>
      <c r="E434" t="n">
        <v>2</v>
      </c>
      <c r="F434" s="14" t="n">
        <v>5995</v>
      </c>
      <c r="G434" s="14" t="n">
        <v>3800</v>
      </c>
      <c r="H434" s="11" t="n">
        <v>0.1</v>
      </c>
      <c r="I434" s="14" t="n">
        <v>10791</v>
      </c>
      <c r="J434" s="14" t="n">
        <v>7600</v>
      </c>
      <c r="K434" s="14" t="n">
        <v>3191</v>
      </c>
      <c r="L434" t="inlineStr">
        <is>
          <t>Maya</t>
        </is>
      </c>
      <c r="M434" t="inlineStr">
        <is>
          <t>Completed</t>
        </is>
      </c>
      <c r="N434" t="inlineStr">
        <is>
          <t>Website</t>
        </is>
      </c>
    </row>
    <row r="435">
      <c r="A435" t="inlineStr">
        <is>
          <t>ORD00434</t>
        </is>
      </c>
      <c r="B435" s="13" t="n">
        <v>46116</v>
      </c>
      <c r="C435" t="inlineStr">
        <is>
          <t>C008</t>
        </is>
      </c>
      <c r="D435" t="inlineStr">
        <is>
          <t>P010</t>
        </is>
      </c>
      <c r="E435" t="n">
        <v>1</v>
      </c>
      <c r="F435" s="14" t="n">
        <v>4495</v>
      </c>
      <c r="G435" s="14" t="n">
        <v>2600</v>
      </c>
      <c r="H435" s="11" t="n">
        <v>0.05</v>
      </c>
      <c r="I435" s="14" t="n">
        <v>4270.25</v>
      </c>
      <c r="J435" s="14" t="n">
        <v>2600</v>
      </c>
      <c r="K435" s="14" t="n">
        <v>1670.25</v>
      </c>
      <c r="L435" t="inlineStr">
        <is>
          <t>GCash</t>
        </is>
      </c>
      <c r="M435" t="inlineStr">
        <is>
          <t>Completed</t>
        </is>
      </c>
      <c r="N435" t="inlineStr">
        <is>
          <t>Facebook</t>
        </is>
      </c>
    </row>
    <row r="436">
      <c r="A436" t="inlineStr">
        <is>
          <t>ORD00435</t>
        </is>
      </c>
      <c r="B436" s="13" t="n">
        <v>46192</v>
      </c>
      <c r="C436" t="inlineStr">
        <is>
          <t>C011</t>
        </is>
      </c>
      <c r="D436" t="inlineStr">
        <is>
          <t>P012</t>
        </is>
      </c>
      <c r="E436" t="n">
        <v>1</v>
      </c>
      <c r="F436" s="14" t="n">
        <v>1595</v>
      </c>
      <c r="G436" s="14" t="n">
        <v>900</v>
      </c>
      <c r="H436" s="11" t="n">
        <v>0</v>
      </c>
      <c r="I436" s="14" t="n">
        <v>1595</v>
      </c>
      <c r="J436" s="14" t="n">
        <v>900</v>
      </c>
      <c r="K436" s="14" t="n">
        <v>695</v>
      </c>
      <c r="L436" t="inlineStr">
        <is>
          <t>Cash</t>
        </is>
      </c>
      <c r="M436" t="inlineStr">
        <is>
          <t>Completed</t>
        </is>
      </c>
      <c r="N436" t="inlineStr">
        <is>
          <t>Website</t>
        </is>
      </c>
    </row>
    <row r="437">
      <c r="A437" t="inlineStr">
        <is>
          <t>ORD00436</t>
        </is>
      </c>
      <c r="B437" s="13" t="n">
        <v>46194</v>
      </c>
      <c r="C437" t="inlineStr">
        <is>
          <t>C008</t>
        </is>
      </c>
      <c r="D437" t="inlineStr">
        <is>
          <t>P008</t>
        </is>
      </c>
      <c r="E437" t="n">
        <v>1</v>
      </c>
      <c r="F437" s="14" t="n">
        <v>4595</v>
      </c>
      <c r="G437" s="14" t="n">
        <v>2800</v>
      </c>
      <c r="H437" s="11" t="n">
        <v>0</v>
      </c>
      <c r="I437" s="14" t="n">
        <v>4595</v>
      </c>
      <c r="J437" s="14" t="n">
        <v>2800</v>
      </c>
      <c r="K437" s="14" t="n">
        <v>1795</v>
      </c>
      <c r="L437" t="inlineStr">
        <is>
          <t>GCash</t>
        </is>
      </c>
      <c r="M437" t="inlineStr">
        <is>
          <t>Completed</t>
        </is>
      </c>
      <c r="N437" t="inlineStr">
        <is>
          <t>Website</t>
        </is>
      </c>
    </row>
    <row r="438">
      <c r="A438" t="inlineStr">
        <is>
          <t>ORD00437</t>
        </is>
      </c>
      <c r="B438" s="13" t="n">
        <v>46023</v>
      </c>
      <c r="C438" t="inlineStr">
        <is>
          <t>C014</t>
        </is>
      </c>
      <c r="D438" t="inlineStr">
        <is>
          <t>P001</t>
        </is>
      </c>
      <c r="E438" t="n">
        <v>1</v>
      </c>
      <c r="F438" s="14" t="n">
        <v>4995</v>
      </c>
      <c r="G438" s="14" t="n">
        <v>3200</v>
      </c>
      <c r="H438" s="11" t="n">
        <v>0.1</v>
      </c>
      <c r="I438" s="14" t="n">
        <v>4495.5</v>
      </c>
      <c r="J438" s="14" t="n">
        <v>3200</v>
      </c>
      <c r="K438" s="14" t="n">
        <v>1295.5</v>
      </c>
      <c r="L438" t="inlineStr">
        <is>
          <t>Cash</t>
        </is>
      </c>
      <c r="M438" t="inlineStr">
        <is>
          <t>Completed</t>
        </is>
      </c>
      <c r="N438" t="inlineStr">
        <is>
          <t>Walk-in</t>
        </is>
      </c>
    </row>
    <row r="439">
      <c r="A439" t="inlineStr">
        <is>
          <t>ORD00438</t>
        </is>
      </c>
      <c r="B439" s="13" t="n">
        <v>46216</v>
      </c>
      <c r="C439" t="inlineStr">
        <is>
          <t>C027</t>
        </is>
      </c>
      <c r="D439" t="inlineStr">
        <is>
          <t>P006</t>
        </is>
      </c>
      <c r="E439" t="n">
        <v>1</v>
      </c>
      <c r="F439" s="14" t="n">
        <v>6295</v>
      </c>
      <c r="G439" s="14" t="n">
        <v>3900</v>
      </c>
      <c r="H439" s="11" t="n">
        <v>0</v>
      </c>
      <c r="I439" s="14" t="n">
        <v>6295</v>
      </c>
      <c r="J439" s="14" t="n">
        <v>3900</v>
      </c>
      <c r="K439" s="14" t="n">
        <v>2395</v>
      </c>
      <c r="L439" t="inlineStr">
        <is>
          <t>Maya</t>
        </is>
      </c>
      <c r="M439" t="inlineStr">
        <is>
          <t>Completed</t>
        </is>
      </c>
      <c r="N439" t="inlineStr">
        <is>
          <t>Facebook</t>
        </is>
      </c>
    </row>
    <row r="440">
      <c r="A440" t="inlineStr">
        <is>
          <t>ORD00439</t>
        </is>
      </c>
      <c r="B440" s="13" t="n">
        <v>46106</v>
      </c>
      <c r="C440" t="inlineStr">
        <is>
          <t>C010</t>
        </is>
      </c>
      <c r="D440" t="inlineStr">
        <is>
          <t>P008</t>
        </is>
      </c>
      <c r="E440" t="n">
        <v>1</v>
      </c>
      <c r="F440" s="14" t="n">
        <v>4595</v>
      </c>
      <c r="G440" s="14" t="n">
        <v>2800</v>
      </c>
      <c r="H440" s="11" t="n">
        <v>0</v>
      </c>
      <c r="I440" s="14" t="n">
        <v>4595</v>
      </c>
      <c r="J440" s="14" t="n">
        <v>2800</v>
      </c>
      <c r="K440" s="14" t="n">
        <v>1795</v>
      </c>
      <c r="L440" t="inlineStr">
        <is>
          <t>GCash</t>
        </is>
      </c>
      <c r="M440" t="inlineStr">
        <is>
          <t>Completed</t>
        </is>
      </c>
      <c r="N440" t="inlineStr">
        <is>
          <t>Website</t>
        </is>
      </c>
    </row>
    <row r="441">
      <c r="A441" t="inlineStr">
        <is>
          <t>ORD00440</t>
        </is>
      </c>
      <c r="B441" s="13" t="n">
        <v>46060</v>
      </c>
      <c r="C441" t="inlineStr">
        <is>
          <t>C006</t>
        </is>
      </c>
      <c r="D441" t="inlineStr">
        <is>
          <t>P006</t>
        </is>
      </c>
      <c r="E441" t="n">
        <v>1</v>
      </c>
      <c r="F441" s="14" t="n">
        <v>6295</v>
      </c>
      <c r="G441" s="14" t="n">
        <v>3900</v>
      </c>
      <c r="H441" s="11" t="n">
        <v>0.03</v>
      </c>
      <c r="I441" s="14" t="n">
        <v>6106.15</v>
      </c>
      <c r="J441" s="14" t="n">
        <v>3900</v>
      </c>
      <c r="K441" s="14" t="n">
        <v>2206.15</v>
      </c>
      <c r="L441" t="inlineStr">
        <is>
          <t>GCash</t>
        </is>
      </c>
      <c r="M441" t="inlineStr">
        <is>
          <t>Completed</t>
        </is>
      </c>
      <c r="N441" t="inlineStr">
        <is>
          <t>Website</t>
        </is>
      </c>
    </row>
    <row r="442">
      <c r="A442" t="inlineStr">
        <is>
          <t>ORD00441</t>
        </is>
      </c>
      <c r="B442" s="13" t="n">
        <v>46196</v>
      </c>
      <c r="C442" t="inlineStr">
        <is>
          <t>C023</t>
        </is>
      </c>
      <c r="D442" t="inlineStr">
        <is>
          <t>P010</t>
        </is>
      </c>
      <c r="E442" t="n">
        <v>4</v>
      </c>
      <c r="F442" s="14" t="n">
        <v>4495</v>
      </c>
      <c r="G442" s="14" t="n">
        <v>2600</v>
      </c>
      <c r="H442" s="11" t="n">
        <v>0.03</v>
      </c>
      <c r="I442" s="14" t="n">
        <v>17440.6</v>
      </c>
      <c r="J442" s="14" t="n">
        <v>10400</v>
      </c>
      <c r="K442" s="14" t="n">
        <v>7040.599999999999</v>
      </c>
      <c r="L442" t="inlineStr">
        <is>
          <t>GCash</t>
        </is>
      </c>
      <c r="M442" t="inlineStr">
        <is>
          <t>Completed</t>
        </is>
      </c>
      <c r="N442" t="inlineStr">
        <is>
          <t>Facebook</t>
        </is>
      </c>
    </row>
    <row r="443">
      <c r="A443" t="inlineStr">
        <is>
          <t>ORD00442</t>
        </is>
      </c>
      <c r="B443" s="13" t="n">
        <v>46245</v>
      </c>
      <c r="C443" t="inlineStr">
        <is>
          <t>C007</t>
        </is>
      </c>
      <c r="D443" t="inlineStr">
        <is>
          <t>P003</t>
        </is>
      </c>
      <c r="E443" t="n">
        <v>1</v>
      </c>
      <c r="F443" s="14" t="n">
        <v>5995</v>
      </c>
      <c r="G443" s="14" t="n">
        <v>3800</v>
      </c>
      <c r="H443" s="11" t="n">
        <v>0</v>
      </c>
      <c r="I443" s="14" t="n">
        <v>5995</v>
      </c>
      <c r="J443" s="14" t="n">
        <v>3800</v>
      </c>
      <c r="K443" s="14" t="n">
        <v>2195</v>
      </c>
      <c r="L443" t="inlineStr">
        <is>
          <t>Cash</t>
        </is>
      </c>
      <c r="M443" t="inlineStr">
        <is>
          <t>Completed</t>
        </is>
      </c>
      <c r="N443" t="inlineStr">
        <is>
          <t>TikTok</t>
        </is>
      </c>
    </row>
    <row r="444">
      <c r="A444" t="inlineStr">
        <is>
          <t>ORD00443</t>
        </is>
      </c>
      <c r="B444" s="13" t="n">
        <v>46167</v>
      </c>
      <c r="C444" t="inlineStr">
        <is>
          <t>C013</t>
        </is>
      </c>
      <c r="D444" t="inlineStr">
        <is>
          <t>P005</t>
        </is>
      </c>
      <c r="E444" t="n">
        <v>1</v>
      </c>
      <c r="F444" s="14" t="n">
        <v>3695</v>
      </c>
      <c r="G444" s="14" t="n">
        <v>2100</v>
      </c>
      <c r="H444" s="11" t="n">
        <v>0</v>
      </c>
      <c r="I444" s="14" t="n">
        <v>3695</v>
      </c>
      <c r="J444" s="14" t="n">
        <v>2100</v>
      </c>
      <c r="K444" s="14" t="n">
        <v>1595</v>
      </c>
      <c r="L444" t="inlineStr">
        <is>
          <t>Maya</t>
        </is>
      </c>
      <c r="M444" t="inlineStr">
        <is>
          <t>Completed</t>
        </is>
      </c>
      <c r="N444" t="inlineStr">
        <is>
          <t>TikTok</t>
        </is>
      </c>
    </row>
    <row r="445">
      <c r="A445" t="inlineStr">
        <is>
          <t>ORD00444</t>
        </is>
      </c>
      <c r="B445" s="13" t="n">
        <v>46024</v>
      </c>
      <c r="C445" t="inlineStr">
        <is>
          <t>C021</t>
        </is>
      </c>
      <c r="D445" t="inlineStr">
        <is>
          <t>P007</t>
        </is>
      </c>
      <c r="E445" t="n">
        <v>1</v>
      </c>
      <c r="F445" s="14" t="n">
        <v>5295</v>
      </c>
      <c r="G445" s="14" t="n">
        <v>3300</v>
      </c>
      <c r="H445" s="11" t="n">
        <v>0.1</v>
      </c>
      <c r="I445" s="14" t="n">
        <v>4765.5</v>
      </c>
      <c r="J445" s="14" t="n">
        <v>3300</v>
      </c>
      <c r="K445" s="14" t="n">
        <v>1465.5</v>
      </c>
      <c r="L445" t="inlineStr">
        <is>
          <t>Maya</t>
        </is>
      </c>
      <c r="M445" t="inlineStr">
        <is>
          <t>Completed</t>
        </is>
      </c>
      <c r="N445" t="inlineStr">
        <is>
          <t>Website</t>
        </is>
      </c>
    </row>
    <row r="446">
      <c r="A446" t="inlineStr">
        <is>
          <t>ORD00445</t>
        </is>
      </c>
      <c r="B446" s="13" t="n">
        <v>46128</v>
      </c>
      <c r="C446" t="inlineStr">
        <is>
          <t>C016</t>
        </is>
      </c>
      <c r="D446" t="inlineStr">
        <is>
          <t>P003</t>
        </is>
      </c>
      <c r="E446" t="n">
        <v>2</v>
      </c>
      <c r="F446" s="14" t="n">
        <v>5995</v>
      </c>
      <c r="G446" s="14" t="n">
        <v>3800</v>
      </c>
      <c r="H446" s="11" t="n">
        <v>0</v>
      </c>
      <c r="I446" s="14" t="n">
        <v>11990</v>
      </c>
      <c r="J446" s="14" t="n">
        <v>7600</v>
      </c>
      <c r="K446" s="14" t="n">
        <v>4390</v>
      </c>
      <c r="L446" t="inlineStr">
        <is>
          <t>GCash</t>
        </is>
      </c>
      <c r="M446" t="inlineStr">
        <is>
          <t>Completed</t>
        </is>
      </c>
      <c r="N446" t="inlineStr">
        <is>
          <t>Walk-in</t>
        </is>
      </c>
    </row>
    <row r="447">
      <c r="A447" t="inlineStr">
        <is>
          <t>ORD00446</t>
        </is>
      </c>
      <c r="B447" s="13" t="n">
        <v>46264</v>
      </c>
      <c r="C447" t="inlineStr">
        <is>
          <t>C003</t>
        </is>
      </c>
      <c r="D447" t="inlineStr">
        <is>
          <t>P008</t>
        </is>
      </c>
      <c r="E447" t="n">
        <v>3</v>
      </c>
      <c r="F447" s="14" t="n">
        <v>4595</v>
      </c>
      <c r="G447" s="14" t="n">
        <v>2800</v>
      </c>
      <c r="H447" s="11" t="n">
        <v>0</v>
      </c>
      <c r="I447" s="14" t="n">
        <v>13785</v>
      </c>
      <c r="J447" s="14" t="n">
        <v>8400</v>
      </c>
      <c r="K447" s="14" t="n">
        <v>5385</v>
      </c>
      <c r="L447" t="inlineStr">
        <is>
          <t>Maya</t>
        </is>
      </c>
      <c r="M447" t="inlineStr">
        <is>
          <t>Completed</t>
        </is>
      </c>
      <c r="N447" t="inlineStr">
        <is>
          <t>Walk-in</t>
        </is>
      </c>
    </row>
    <row r="448">
      <c r="A448" t="inlineStr">
        <is>
          <t>ORD00447</t>
        </is>
      </c>
      <c r="B448" s="13" t="n">
        <v>46212</v>
      </c>
      <c r="C448" t="inlineStr">
        <is>
          <t>C015</t>
        </is>
      </c>
      <c r="D448" t="inlineStr">
        <is>
          <t>P003</t>
        </is>
      </c>
      <c r="E448" t="n">
        <v>1</v>
      </c>
      <c r="F448" s="14" t="n">
        <v>5995</v>
      </c>
      <c r="G448" s="14" t="n">
        <v>3800</v>
      </c>
      <c r="H448" s="11" t="n">
        <v>0</v>
      </c>
      <c r="I448" s="14" t="n">
        <v>5995</v>
      </c>
      <c r="J448" s="14" t="n">
        <v>3800</v>
      </c>
      <c r="K448" s="14" t="n">
        <v>2195</v>
      </c>
      <c r="L448" t="inlineStr">
        <is>
          <t>Maya</t>
        </is>
      </c>
      <c r="M448" t="inlineStr">
        <is>
          <t>Completed</t>
        </is>
      </c>
      <c r="N448" t="inlineStr">
        <is>
          <t>TikTok</t>
        </is>
      </c>
    </row>
    <row r="449">
      <c r="A449" t="inlineStr">
        <is>
          <t>ORD00448</t>
        </is>
      </c>
      <c r="B449" s="13" t="n">
        <v>46054</v>
      </c>
      <c r="C449" t="inlineStr">
        <is>
          <t>C004</t>
        </is>
      </c>
      <c r="D449" t="inlineStr">
        <is>
          <t>P003</t>
        </is>
      </c>
      <c r="E449" t="n">
        <v>2</v>
      </c>
      <c r="F449" s="14" t="n">
        <v>5995</v>
      </c>
      <c r="G449" s="14" t="n">
        <v>3800</v>
      </c>
      <c r="H449" s="11" t="n">
        <v>0.1</v>
      </c>
      <c r="I449" s="14" t="n">
        <v>10791</v>
      </c>
      <c r="J449" s="14" t="n">
        <v>7600</v>
      </c>
      <c r="K449" s="14" t="n">
        <v>3191</v>
      </c>
      <c r="L449" t="inlineStr">
        <is>
          <t>GCash</t>
        </is>
      </c>
      <c r="M449" t="inlineStr">
        <is>
          <t>Completed</t>
        </is>
      </c>
      <c r="N449" t="inlineStr">
        <is>
          <t>Walk-in</t>
        </is>
      </c>
    </row>
    <row r="450">
      <c r="A450" t="inlineStr">
        <is>
          <t>ORD00449</t>
        </is>
      </c>
      <c r="B450" s="13" t="n">
        <v>46139</v>
      </c>
      <c r="C450" t="inlineStr">
        <is>
          <t>C027</t>
        </is>
      </c>
      <c r="D450" t="inlineStr">
        <is>
          <t>P009</t>
        </is>
      </c>
      <c r="E450" t="n">
        <v>1</v>
      </c>
      <c r="F450" s="14" t="n">
        <v>5795</v>
      </c>
      <c r="G450" s="14" t="n">
        <v>3600</v>
      </c>
      <c r="H450" s="11" t="n">
        <v>0.03</v>
      </c>
      <c r="I450" s="14" t="n">
        <v>5621.15</v>
      </c>
      <c r="J450" s="14" t="n">
        <v>3600</v>
      </c>
      <c r="K450" s="14" t="n">
        <v>2021.15</v>
      </c>
      <c r="L450" t="inlineStr">
        <is>
          <t>Maya</t>
        </is>
      </c>
      <c r="M450" t="inlineStr">
        <is>
          <t>Completed</t>
        </is>
      </c>
      <c r="N450" t="inlineStr">
        <is>
          <t>Walk-in</t>
        </is>
      </c>
    </row>
    <row r="451">
      <c r="A451" t="inlineStr">
        <is>
          <t>ORD00450</t>
        </is>
      </c>
      <c r="B451" s="13" t="n">
        <v>46143</v>
      </c>
      <c r="C451" t="inlineStr">
        <is>
          <t>C029</t>
        </is>
      </c>
      <c r="D451" t="inlineStr">
        <is>
          <t>P008</t>
        </is>
      </c>
      <c r="E451" t="n">
        <v>1</v>
      </c>
      <c r="F451" s="14" t="n">
        <v>4595</v>
      </c>
      <c r="G451" s="14" t="n">
        <v>2800</v>
      </c>
      <c r="H451" s="11" t="n">
        <v>0.03</v>
      </c>
      <c r="I451" s="14" t="n">
        <v>4457.15</v>
      </c>
      <c r="J451" s="14" t="n">
        <v>2800</v>
      </c>
      <c r="K451" s="14" t="n">
        <v>1657.15</v>
      </c>
      <c r="L451" t="inlineStr">
        <is>
          <t>GCash</t>
        </is>
      </c>
      <c r="M451" t="inlineStr">
        <is>
          <t>Completed</t>
        </is>
      </c>
      <c r="N451" t="inlineStr">
        <is>
          <t>Facebook</t>
        </is>
      </c>
    </row>
    <row r="452">
      <c r="A452" t="inlineStr">
        <is>
          <t>ORD00451</t>
        </is>
      </c>
      <c r="B452" s="13" t="n">
        <v>46084</v>
      </c>
      <c r="C452" t="inlineStr">
        <is>
          <t>C007</t>
        </is>
      </c>
      <c r="D452" t="inlineStr">
        <is>
          <t>P008</t>
        </is>
      </c>
      <c r="E452" t="n">
        <v>1</v>
      </c>
      <c r="F452" s="14" t="n">
        <v>4595</v>
      </c>
      <c r="G452" s="14" t="n">
        <v>2800</v>
      </c>
      <c r="H452" s="11" t="n">
        <v>0</v>
      </c>
      <c r="I452" s="14" t="n">
        <v>4595</v>
      </c>
      <c r="J452" s="14" t="n">
        <v>2800</v>
      </c>
      <c r="K452" s="14" t="n">
        <v>1795</v>
      </c>
      <c r="L452" t="inlineStr">
        <is>
          <t>Cash</t>
        </is>
      </c>
      <c r="M452" t="inlineStr">
        <is>
          <t>Completed</t>
        </is>
      </c>
      <c r="N452" t="inlineStr">
        <is>
          <t>Walk-in</t>
        </is>
      </c>
    </row>
    <row r="453">
      <c r="A453" t="inlineStr">
        <is>
          <t>ORD00452</t>
        </is>
      </c>
      <c r="B453" s="13" t="n">
        <v>46063</v>
      </c>
      <c r="C453" t="inlineStr">
        <is>
          <t>C005</t>
        </is>
      </c>
      <c r="D453" t="inlineStr">
        <is>
          <t>P011</t>
        </is>
      </c>
      <c r="E453" t="n">
        <v>1</v>
      </c>
      <c r="F453" s="14" t="n">
        <v>1495</v>
      </c>
      <c r="G453" s="14" t="n">
        <v>850</v>
      </c>
      <c r="H453" s="11" t="n">
        <v>0.1</v>
      </c>
      <c r="I453" s="14" t="n">
        <v>1345.5</v>
      </c>
      <c r="J453" s="14" t="n">
        <v>850</v>
      </c>
      <c r="K453" s="14" t="n">
        <v>495.5</v>
      </c>
      <c r="L453" t="inlineStr">
        <is>
          <t>Card</t>
        </is>
      </c>
      <c r="M453" t="inlineStr">
        <is>
          <t>Completed</t>
        </is>
      </c>
      <c r="N453" t="inlineStr">
        <is>
          <t>Website</t>
        </is>
      </c>
    </row>
    <row r="454">
      <c r="A454" t="inlineStr">
        <is>
          <t>ORD00453</t>
        </is>
      </c>
      <c r="B454" s="13" t="n">
        <v>46067</v>
      </c>
      <c r="C454" t="inlineStr">
        <is>
          <t>C011</t>
        </is>
      </c>
      <c r="D454" t="inlineStr">
        <is>
          <t>P007</t>
        </is>
      </c>
      <c r="E454" t="n">
        <v>1</v>
      </c>
      <c r="F454" s="14" t="n">
        <v>5295</v>
      </c>
      <c r="G454" s="14" t="n">
        <v>3300</v>
      </c>
      <c r="H454" s="11" t="n">
        <v>0.05</v>
      </c>
      <c r="I454" s="14" t="n">
        <v>5030.25</v>
      </c>
      <c r="J454" s="14" t="n">
        <v>3300</v>
      </c>
      <c r="K454" s="14" t="n">
        <v>1730.25</v>
      </c>
      <c r="L454" t="inlineStr">
        <is>
          <t>Card</t>
        </is>
      </c>
      <c r="M454" t="inlineStr">
        <is>
          <t>Completed</t>
        </is>
      </c>
      <c r="N454" t="inlineStr">
        <is>
          <t>Website</t>
        </is>
      </c>
    </row>
    <row r="455">
      <c r="A455" t="inlineStr">
        <is>
          <t>ORD00454</t>
        </is>
      </c>
      <c r="B455" s="13" t="n">
        <v>46290</v>
      </c>
      <c r="C455" t="inlineStr">
        <is>
          <t>C005</t>
        </is>
      </c>
      <c r="D455" t="inlineStr">
        <is>
          <t>P007</t>
        </is>
      </c>
      <c r="E455" t="n">
        <v>1</v>
      </c>
      <c r="F455" s="14" t="n">
        <v>5295</v>
      </c>
      <c r="G455" s="14" t="n">
        <v>3300</v>
      </c>
      <c r="H455" s="11" t="n">
        <v>0</v>
      </c>
      <c r="I455" s="14" t="n">
        <v>5295</v>
      </c>
      <c r="J455" s="14" t="n">
        <v>3300</v>
      </c>
      <c r="K455" s="14" t="n">
        <v>1995</v>
      </c>
      <c r="L455" t="inlineStr">
        <is>
          <t>GCash</t>
        </is>
      </c>
      <c r="M455" t="inlineStr">
        <is>
          <t>Completed</t>
        </is>
      </c>
      <c r="N455" t="inlineStr">
        <is>
          <t>Website</t>
        </is>
      </c>
    </row>
    <row r="456">
      <c r="A456" t="inlineStr">
        <is>
          <t>ORD00455</t>
        </is>
      </c>
      <c r="B456" s="13" t="n">
        <v>46169</v>
      </c>
      <c r="C456" t="inlineStr">
        <is>
          <t>C009</t>
        </is>
      </c>
      <c r="D456" t="inlineStr">
        <is>
          <t>P009</t>
        </is>
      </c>
      <c r="E456" t="n">
        <v>3</v>
      </c>
      <c r="F456" s="14" t="n">
        <v>5795</v>
      </c>
      <c r="G456" s="14" t="n">
        <v>3600</v>
      </c>
      <c r="H456" s="11" t="n">
        <v>0.03</v>
      </c>
      <c r="I456" s="14" t="n">
        <v>16863.45</v>
      </c>
      <c r="J456" s="14" t="n">
        <v>10800</v>
      </c>
      <c r="K456" s="14" t="n">
        <v>6063.450000000001</v>
      </c>
      <c r="L456" t="inlineStr">
        <is>
          <t>Maya</t>
        </is>
      </c>
      <c r="M456" t="inlineStr">
        <is>
          <t>Completed</t>
        </is>
      </c>
      <c r="N456" t="inlineStr">
        <is>
          <t>Walk-in</t>
        </is>
      </c>
    </row>
    <row r="457">
      <c r="A457" t="inlineStr">
        <is>
          <t>ORD00456</t>
        </is>
      </c>
      <c r="B457" s="13" t="n">
        <v>46042</v>
      </c>
      <c r="C457" t="inlineStr">
        <is>
          <t>C020</t>
        </is>
      </c>
      <c r="D457" t="inlineStr">
        <is>
          <t>P003</t>
        </is>
      </c>
      <c r="E457" t="n">
        <v>1</v>
      </c>
      <c r="F457" s="14" t="n">
        <v>5995</v>
      </c>
      <c r="G457" s="14" t="n">
        <v>3800</v>
      </c>
      <c r="H457" s="11" t="n">
        <v>0</v>
      </c>
      <c r="I457" s="14" t="n">
        <v>5995</v>
      </c>
      <c r="J457" s="14" t="n">
        <v>3800</v>
      </c>
      <c r="K457" s="14" t="n">
        <v>2195</v>
      </c>
      <c r="L457" t="inlineStr">
        <is>
          <t>Maya</t>
        </is>
      </c>
      <c r="M457" t="inlineStr">
        <is>
          <t>Completed</t>
        </is>
      </c>
      <c r="N457" t="inlineStr">
        <is>
          <t>TikTok</t>
        </is>
      </c>
    </row>
    <row r="458">
      <c r="A458" t="inlineStr">
        <is>
          <t>ORD00457</t>
        </is>
      </c>
      <c r="B458" s="13" t="n">
        <v>46144</v>
      </c>
      <c r="C458" t="inlineStr">
        <is>
          <t>C029</t>
        </is>
      </c>
      <c r="D458" t="inlineStr">
        <is>
          <t>P001</t>
        </is>
      </c>
      <c r="E458" t="n">
        <v>2</v>
      </c>
      <c r="F458" s="14" t="n">
        <v>4995</v>
      </c>
      <c r="G458" s="14" t="n">
        <v>3200</v>
      </c>
      <c r="H458" s="11" t="n">
        <v>0</v>
      </c>
      <c r="I458" s="14" t="n">
        <v>9990</v>
      </c>
      <c r="J458" s="14" t="n">
        <v>6400</v>
      </c>
      <c r="K458" s="14" t="n">
        <v>3590</v>
      </c>
      <c r="L458" t="inlineStr">
        <is>
          <t>Card</t>
        </is>
      </c>
      <c r="M458" t="inlineStr">
        <is>
          <t>Completed</t>
        </is>
      </c>
      <c r="N458" t="inlineStr">
        <is>
          <t>TikTok</t>
        </is>
      </c>
    </row>
    <row r="459">
      <c r="A459" t="inlineStr">
        <is>
          <t>ORD00458</t>
        </is>
      </c>
      <c r="B459" s="13" t="n">
        <v>46182</v>
      </c>
      <c r="C459" t="inlineStr">
        <is>
          <t>C022</t>
        </is>
      </c>
      <c r="D459" t="inlineStr">
        <is>
          <t>P005</t>
        </is>
      </c>
      <c r="E459" t="n">
        <v>2</v>
      </c>
      <c r="F459" s="14" t="n">
        <v>3695</v>
      </c>
      <c r="G459" s="14" t="n">
        <v>2100</v>
      </c>
      <c r="H459" s="11" t="n">
        <v>0.1</v>
      </c>
      <c r="I459" s="14" t="n">
        <v>6651</v>
      </c>
      <c r="J459" s="14" t="n">
        <v>4200</v>
      </c>
      <c r="K459" s="14" t="n">
        <v>2451</v>
      </c>
      <c r="L459" t="inlineStr">
        <is>
          <t>GCash</t>
        </is>
      </c>
      <c r="M459" t="inlineStr">
        <is>
          <t>Completed</t>
        </is>
      </c>
      <c r="N459" t="inlineStr">
        <is>
          <t>Facebook</t>
        </is>
      </c>
    </row>
    <row r="460">
      <c r="A460" t="inlineStr">
        <is>
          <t>ORD00459</t>
        </is>
      </c>
      <c r="B460" s="13" t="n">
        <v>46091</v>
      </c>
      <c r="C460" t="inlineStr">
        <is>
          <t>C025</t>
        </is>
      </c>
      <c r="D460" t="inlineStr">
        <is>
          <t>P005</t>
        </is>
      </c>
      <c r="E460" t="n">
        <v>4</v>
      </c>
      <c r="F460" s="14" t="n">
        <v>3695</v>
      </c>
      <c r="G460" s="14" t="n">
        <v>2100</v>
      </c>
      <c r="H460" s="11" t="n">
        <v>0.03</v>
      </c>
      <c r="I460" s="14" t="n">
        <v>14336.6</v>
      </c>
      <c r="J460" s="14" t="n">
        <v>8400</v>
      </c>
      <c r="K460" s="14" t="n">
        <v>5936.6</v>
      </c>
      <c r="L460" t="inlineStr">
        <is>
          <t>Card</t>
        </is>
      </c>
      <c r="M460" t="inlineStr">
        <is>
          <t>Completed</t>
        </is>
      </c>
      <c r="N460" t="inlineStr">
        <is>
          <t>Walk-in</t>
        </is>
      </c>
    </row>
    <row r="461">
      <c r="A461" t="inlineStr">
        <is>
          <t>ORD00460</t>
        </is>
      </c>
      <c r="B461" s="13" t="n">
        <v>46068</v>
      </c>
      <c r="C461" t="inlineStr">
        <is>
          <t>C024</t>
        </is>
      </c>
      <c r="D461" t="inlineStr">
        <is>
          <t>P004</t>
        </is>
      </c>
      <c r="E461" t="n">
        <v>1</v>
      </c>
      <c r="F461" s="14" t="n">
        <v>3995</v>
      </c>
      <c r="G461" s="14" t="n">
        <v>2200</v>
      </c>
      <c r="H461" s="11" t="n">
        <v>0.03</v>
      </c>
      <c r="I461" s="14" t="n">
        <v>3875.15</v>
      </c>
      <c r="J461" s="14" t="n">
        <v>2200</v>
      </c>
      <c r="K461" s="14" t="n">
        <v>1675.15</v>
      </c>
      <c r="L461" t="inlineStr">
        <is>
          <t>Maya</t>
        </is>
      </c>
      <c r="M461" t="inlineStr">
        <is>
          <t>Completed</t>
        </is>
      </c>
      <c r="N461" t="inlineStr">
        <is>
          <t>TikTok</t>
        </is>
      </c>
    </row>
    <row r="462">
      <c r="A462" t="inlineStr">
        <is>
          <t>ORD00461</t>
        </is>
      </c>
      <c r="B462" s="13" t="n">
        <v>46051</v>
      </c>
      <c r="C462" t="inlineStr">
        <is>
          <t>C010</t>
        </is>
      </c>
      <c r="D462" t="inlineStr">
        <is>
          <t>P009</t>
        </is>
      </c>
      <c r="E462" t="n">
        <v>2</v>
      </c>
      <c r="F462" s="14" t="n">
        <v>5795</v>
      </c>
      <c r="G462" s="14" t="n">
        <v>3600</v>
      </c>
      <c r="H462" s="11" t="n">
        <v>0</v>
      </c>
      <c r="I462" s="14" t="n">
        <v>11590</v>
      </c>
      <c r="J462" s="14" t="n">
        <v>7200</v>
      </c>
      <c r="K462" s="14" t="n">
        <v>4390</v>
      </c>
      <c r="L462" t="inlineStr">
        <is>
          <t>Maya</t>
        </is>
      </c>
      <c r="M462" t="inlineStr">
        <is>
          <t>Completed</t>
        </is>
      </c>
      <c r="N462" t="inlineStr">
        <is>
          <t>Website</t>
        </is>
      </c>
    </row>
    <row r="463">
      <c r="A463" t="inlineStr">
        <is>
          <t>ORD00462</t>
        </is>
      </c>
      <c r="B463" s="13" t="n">
        <v>46111</v>
      </c>
      <c r="C463" t="inlineStr">
        <is>
          <t>C027</t>
        </is>
      </c>
      <c r="D463" t="inlineStr">
        <is>
          <t>P004</t>
        </is>
      </c>
      <c r="E463" t="n">
        <v>3</v>
      </c>
      <c r="F463" s="14" t="n">
        <v>3995</v>
      </c>
      <c r="G463" s="14" t="n">
        <v>2200</v>
      </c>
      <c r="H463" s="11" t="n">
        <v>0</v>
      </c>
      <c r="I463" s="14" t="n">
        <v>11985</v>
      </c>
      <c r="J463" s="14" t="n">
        <v>6600</v>
      </c>
      <c r="K463" s="14" t="n">
        <v>5385</v>
      </c>
      <c r="L463" t="inlineStr">
        <is>
          <t>GCash</t>
        </is>
      </c>
      <c r="M463" t="inlineStr">
        <is>
          <t>Completed</t>
        </is>
      </c>
      <c r="N463" t="inlineStr">
        <is>
          <t>Walk-in</t>
        </is>
      </c>
    </row>
    <row r="464">
      <c r="A464" t="inlineStr">
        <is>
          <t>ORD00463</t>
        </is>
      </c>
      <c r="B464" s="13" t="n">
        <v>46048</v>
      </c>
      <c r="C464" t="inlineStr">
        <is>
          <t>C012</t>
        </is>
      </c>
      <c r="D464" t="inlineStr">
        <is>
          <t>P006</t>
        </is>
      </c>
      <c r="E464" t="n">
        <v>2</v>
      </c>
      <c r="F464" s="14" t="n">
        <v>6295</v>
      </c>
      <c r="G464" s="14" t="n">
        <v>3900</v>
      </c>
      <c r="H464" s="11" t="n">
        <v>0</v>
      </c>
      <c r="I464" s="14" t="n">
        <v>12590</v>
      </c>
      <c r="J464" s="14" t="n">
        <v>7800</v>
      </c>
      <c r="K464" s="14" t="n">
        <v>4790</v>
      </c>
      <c r="L464" t="inlineStr">
        <is>
          <t>Maya</t>
        </is>
      </c>
      <c r="M464" t="inlineStr">
        <is>
          <t>Completed</t>
        </is>
      </c>
      <c r="N464" t="inlineStr">
        <is>
          <t>Website</t>
        </is>
      </c>
    </row>
    <row r="465">
      <c r="A465" t="inlineStr">
        <is>
          <t>ORD00464</t>
        </is>
      </c>
      <c r="B465" s="13" t="n">
        <v>46038</v>
      </c>
      <c r="C465" t="inlineStr">
        <is>
          <t>C015</t>
        </is>
      </c>
      <c r="D465" t="inlineStr">
        <is>
          <t>P004</t>
        </is>
      </c>
      <c r="E465" t="n">
        <v>1</v>
      </c>
      <c r="F465" s="14" t="n">
        <v>3995</v>
      </c>
      <c r="G465" s="14" t="n">
        <v>2200</v>
      </c>
      <c r="H465" s="11" t="n">
        <v>0.05</v>
      </c>
      <c r="I465" s="14" t="n">
        <v>3795.25</v>
      </c>
      <c r="J465" s="14" t="n">
        <v>2200</v>
      </c>
      <c r="K465" s="14" t="n">
        <v>1595.25</v>
      </c>
      <c r="L465" t="inlineStr">
        <is>
          <t>Cash</t>
        </is>
      </c>
      <c r="M465" t="inlineStr">
        <is>
          <t>Completed</t>
        </is>
      </c>
      <c r="N465" t="inlineStr">
        <is>
          <t>Walk-in</t>
        </is>
      </c>
    </row>
    <row r="466">
      <c r="A466" t="inlineStr">
        <is>
          <t>ORD00465</t>
        </is>
      </c>
      <c r="B466" s="13" t="n">
        <v>46202</v>
      </c>
      <c r="C466" t="inlineStr">
        <is>
          <t>C024</t>
        </is>
      </c>
      <c r="D466" t="inlineStr">
        <is>
          <t>P006</t>
        </is>
      </c>
      <c r="E466" t="n">
        <v>1</v>
      </c>
      <c r="F466" s="14" t="n">
        <v>6295</v>
      </c>
      <c r="G466" s="14" t="n">
        <v>3900</v>
      </c>
      <c r="H466" s="11" t="n">
        <v>0</v>
      </c>
      <c r="I466" s="14" t="n">
        <v>6295</v>
      </c>
      <c r="J466" s="14" t="n">
        <v>3900</v>
      </c>
      <c r="K466" s="14" t="n">
        <v>2395</v>
      </c>
      <c r="L466" t="inlineStr">
        <is>
          <t>GCash</t>
        </is>
      </c>
      <c r="M466" t="inlineStr">
        <is>
          <t>Completed</t>
        </is>
      </c>
      <c r="N466" t="inlineStr">
        <is>
          <t>Walk-in</t>
        </is>
      </c>
    </row>
    <row r="467">
      <c r="A467" t="inlineStr">
        <is>
          <t>ORD00466</t>
        </is>
      </c>
      <c r="B467" s="13" t="n">
        <v>46048</v>
      </c>
      <c r="C467" t="inlineStr">
        <is>
          <t>C028</t>
        </is>
      </c>
      <c r="D467" t="inlineStr">
        <is>
          <t>P003</t>
        </is>
      </c>
      <c r="E467" t="n">
        <v>2</v>
      </c>
      <c r="F467" s="14" t="n">
        <v>5995</v>
      </c>
      <c r="G467" s="14" t="n">
        <v>3800</v>
      </c>
      <c r="H467" s="11" t="n">
        <v>0</v>
      </c>
      <c r="I467" s="14" t="n">
        <v>11990</v>
      </c>
      <c r="J467" s="14" t="n">
        <v>7600</v>
      </c>
      <c r="K467" s="14" t="n">
        <v>4390</v>
      </c>
      <c r="L467" t="inlineStr">
        <is>
          <t>Cash</t>
        </is>
      </c>
      <c r="M467" t="inlineStr">
        <is>
          <t>Completed</t>
        </is>
      </c>
      <c r="N467" t="inlineStr">
        <is>
          <t>Facebook</t>
        </is>
      </c>
    </row>
    <row r="468">
      <c r="A468" t="inlineStr">
        <is>
          <t>ORD00467</t>
        </is>
      </c>
      <c r="B468" s="13" t="n">
        <v>46160</v>
      </c>
      <c r="C468" t="inlineStr">
        <is>
          <t>C028</t>
        </is>
      </c>
      <c r="D468" t="inlineStr">
        <is>
          <t>P011</t>
        </is>
      </c>
      <c r="E468" t="n">
        <v>1</v>
      </c>
      <c r="F468" s="14" t="n">
        <v>1495</v>
      </c>
      <c r="G468" s="14" t="n">
        <v>850</v>
      </c>
      <c r="H468" s="11" t="n">
        <v>0</v>
      </c>
      <c r="I468" s="14" t="n">
        <v>1495</v>
      </c>
      <c r="J468" s="14" t="n">
        <v>850</v>
      </c>
      <c r="K468" s="14" t="n">
        <v>645</v>
      </c>
      <c r="L468" t="inlineStr">
        <is>
          <t>GCash</t>
        </is>
      </c>
      <c r="M468" t="inlineStr">
        <is>
          <t>Completed</t>
        </is>
      </c>
      <c r="N468" t="inlineStr">
        <is>
          <t>Facebook</t>
        </is>
      </c>
    </row>
    <row r="469">
      <c r="A469" t="inlineStr">
        <is>
          <t>ORD00468</t>
        </is>
      </c>
      <c r="B469" s="13" t="n">
        <v>46111</v>
      </c>
      <c r="C469" t="inlineStr">
        <is>
          <t>C009</t>
        </is>
      </c>
      <c r="D469" t="inlineStr">
        <is>
          <t>P010</t>
        </is>
      </c>
      <c r="E469" t="n">
        <v>2</v>
      </c>
      <c r="F469" s="14" t="n">
        <v>4495</v>
      </c>
      <c r="G469" s="14" t="n">
        <v>2600</v>
      </c>
      <c r="H469" s="11" t="n">
        <v>0</v>
      </c>
      <c r="I469" s="14" t="n">
        <v>8990</v>
      </c>
      <c r="J469" s="14" t="n">
        <v>5200</v>
      </c>
      <c r="K469" s="14" t="n">
        <v>3790</v>
      </c>
      <c r="L469" t="inlineStr">
        <is>
          <t>Card</t>
        </is>
      </c>
      <c r="M469" t="inlineStr">
        <is>
          <t>Completed</t>
        </is>
      </c>
      <c r="N469" t="inlineStr">
        <is>
          <t>TikTok</t>
        </is>
      </c>
    </row>
    <row r="470">
      <c r="A470" t="inlineStr">
        <is>
          <t>ORD00469</t>
        </is>
      </c>
      <c r="B470" s="13" t="n">
        <v>46239</v>
      </c>
      <c r="C470" t="inlineStr">
        <is>
          <t>C009</t>
        </is>
      </c>
      <c r="D470" t="inlineStr">
        <is>
          <t>P007</t>
        </is>
      </c>
      <c r="E470" t="n">
        <v>2</v>
      </c>
      <c r="F470" s="14" t="n">
        <v>5295</v>
      </c>
      <c r="G470" s="14" t="n">
        <v>3300</v>
      </c>
      <c r="H470" s="11" t="n">
        <v>0.03</v>
      </c>
      <c r="I470" s="14" t="n">
        <v>10272.3</v>
      </c>
      <c r="J470" s="14" t="n">
        <v>6600</v>
      </c>
      <c r="K470" s="14" t="n">
        <v>3672.299999999999</v>
      </c>
      <c r="L470" t="inlineStr">
        <is>
          <t>Cash</t>
        </is>
      </c>
      <c r="M470" t="inlineStr">
        <is>
          <t>Completed</t>
        </is>
      </c>
      <c r="N470" t="inlineStr">
        <is>
          <t>Walk-in</t>
        </is>
      </c>
    </row>
    <row r="471">
      <c r="A471" t="inlineStr">
        <is>
          <t>ORD00470</t>
        </is>
      </c>
      <c r="B471" s="13" t="n">
        <v>46075</v>
      </c>
      <c r="C471" t="inlineStr">
        <is>
          <t>C027</t>
        </is>
      </c>
      <c r="D471" t="inlineStr">
        <is>
          <t>P001</t>
        </is>
      </c>
      <c r="E471" t="n">
        <v>1</v>
      </c>
      <c r="F471" s="14" t="n">
        <v>4995</v>
      </c>
      <c r="G471" s="14" t="n">
        <v>3200</v>
      </c>
      <c r="H471" s="11" t="n">
        <v>0.1</v>
      </c>
      <c r="I471" s="14" t="n">
        <v>4495.5</v>
      </c>
      <c r="J471" s="14" t="n">
        <v>3200</v>
      </c>
      <c r="K471" s="14" t="n">
        <v>1295.5</v>
      </c>
      <c r="L471" t="inlineStr">
        <is>
          <t>Card</t>
        </is>
      </c>
      <c r="M471" t="inlineStr">
        <is>
          <t>Completed</t>
        </is>
      </c>
      <c r="N471" t="inlineStr">
        <is>
          <t>TikTok</t>
        </is>
      </c>
    </row>
    <row r="472">
      <c r="A472" t="inlineStr">
        <is>
          <t>ORD00471</t>
        </is>
      </c>
      <c r="B472" s="13" t="n">
        <v>46175</v>
      </c>
      <c r="C472" t="inlineStr">
        <is>
          <t>C011</t>
        </is>
      </c>
      <c r="D472" t="inlineStr">
        <is>
          <t>P011</t>
        </is>
      </c>
      <c r="E472" t="n">
        <v>1</v>
      </c>
      <c r="F472" s="14" t="n">
        <v>1495</v>
      </c>
      <c r="G472" s="14" t="n">
        <v>850</v>
      </c>
      <c r="H472" s="11" t="n">
        <v>0</v>
      </c>
      <c r="I472" s="14" t="n">
        <v>1495</v>
      </c>
      <c r="J472" s="14" t="n">
        <v>850</v>
      </c>
      <c r="K472" s="14" t="n">
        <v>645</v>
      </c>
      <c r="L472" t="inlineStr">
        <is>
          <t>Card</t>
        </is>
      </c>
      <c r="M472" t="inlineStr">
        <is>
          <t>Completed</t>
        </is>
      </c>
      <c r="N472" t="inlineStr">
        <is>
          <t>TikTok</t>
        </is>
      </c>
    </row>
    <row r="473">
      <c r="A473" t="inlineStr">
        <is>
          <t>ORD00472</t>
        </is>
      </c>
      <c r="B473" s="13" t="n">
        <v>46156</v>
      </c>
      <c r="C473" t="inlineStr">
        <is>
          <t>C010</t>
        </is>
      </c>
      <c r="D473" t="inlineStr">
        <is>
          <t>P011</t>
        </is>
      </c>
      <c r="E473" t="n">
        <v>2</v>
      </c>
      <c r="F473" s="14" t="n">
        <v>1495</v>
      </c>
      <c r="G473" s="14" t="n">
        <v>850</v>
      </c>
      <c r="H473" s="11" t="n">
        <v>0.1</v>
      </c>
      <c r="I473" s="14" t="n">
        <v>2691</v>
      </c>
      <c r="J473" s="14" t="n">
        <v>1700</v>
      </c>
      <c r="K473" s="14" t="n">
        <v>991</v>
      </c>
      <c r="L473" t="inlineStr">
        <is>
          <t>Cash</t>
        </is>
      </c>
      <c r="M473" t="inlineStr">
        <is>
          <t>Completed</t>
        </is>
      </c>
      <c r="N473" t="inlineStr">
        <is>
          <t>Facebook</t>
        </is>
      </c>
    </row>
    <row r="474">
      <c r="A474" t="inlineStr">
        <is>
          <t>ORD00473</t>
        </is>
      </c>
      <c r="B474" s="13" t="n">
        <v>46052</v>
      </c>
      <c r="C474" t="inlineStr">
        <is>
          <t>C022</t>
        </is>
      </c>
      <c r="D474" t="inlineStr">
        <is>
          <t>P010</t>
        </is>
      </c>
      <c r="E474" t="n">
        <v>1</v>
      </c>
      <c r="F474" s="14" t="n">
        <v>4495</v>
      </c>
      <c r="G474" s="14" t="n">
        <v>2600</v>
      </c>
      <c r="H474" s="11" t="n">
        <v>0</v>
      </c>
      <c r="I474" s="14" t="n">
        <v>4495</v>
      </c>
      <c r="J474" s="14" t="n">
        <v>2600</v>
      </c>
      <c r="K474" s="14" t="n">
        <v>1895</v>
      </c>
      <c r="L474" t="inlineStr">
        <is>
          <t>Cash</t>
        </is>
      </c>
      <c r="M474" t="inlineStr">
        <is>
          <t>Completed</t>
        </is>
      </c>
      <c r="N474" t="inlineStr">
        <is>
          <t>Walk-in</t>
        </is>
      </c>
    </row>
    <row r="475">
      <c r="A475" t="inlineStr">
        <is>
          <t>ORD00474</t>
        </is>
      </c>
      <c r="B475" s="13" t="n">
        <v>46174</v>
      </c>
      <c r="C475" t="inlineStr">
        <is>
          <t>C013</t>
        </is>
      </c>
      <c r="D475" t="inlineStr">
        <is>
          <t>P005</t>
        </is>
      </c>
      <c r="E475" t="n">
        <v>3</v>
      </c>
      <c r="F475" s="14" t="n">
        <v>3695</v>
      </c>
      <c r="G475" s="14" t="n">
        <v>2100</v>
      </c>
      <c r="H475" s="11" t="n">
        <v>0.03</v>
      </c>
      <c r="I475" s="14" t="n">
        <v>10752.45</v>
      </c>
      <c r="J475" s="14" t="n">
        <v>6300</v>
      </c>
      <c r="K475" s="14" t="n">
        <v>4452.449999999999</v>
      </c>
      <c r="L475" t="inlineStr">
        <is>
          <t>GCash</t>
        </is>
      </c>
      <c r="M475" t="inlineStr">
        <is>
          <t>Completed</t>
        </is>
      </c>
      <c r="N475" t="inlineStr">
        <is>
          <t>Facebook</t>
        </is>
      </c>
    </row>
    <row r="476">
      <c r="A476" t="inlineStr">
        <is>
          <t>ORD00475</t>
        </is>
      </c>
      <c r="B476" s="13" t="n">
        <v>46198</v>
      </c>
      <c r="C476" t="inlineStr">
        <is>
          <t>C018</t>
        </is>
      </c>
      <c r="D476" t="inlineStr">
        <is>
          <t>P012</t>
        </is>
      </c>
      <c r="E476" t="n">
        <v>2</v>
      </c>
      <c r="F476" s="14" t="n">
        <v>1595</v>
      </c>
      <c r="G476" s="14" t="n">
        <v>900</v>
      </c>
      <c r="H476" s="11" t="n">
        <v>0.1</v>
      </c>
      <c r="I476" s="14" t="n">
        <v>2871</v>
      </c>
      <c r="J476" s="14" t="n">
        <v>1800</v>
      </c>
      <c r="K476" s="14" t="n">
        <v>1071</v>
      </c>
      <c r="L476" t="inlineStr">
        <is>
          <t>Maya</t>
        </is>
      </c>
      <c r="M476" t="inlineStr">
        <is>
          <t>Completed</t>
        </is>
      </c>
      <c r="N476" t="inlineStr">
        <is>
          <t>TikTok</t>
        </is>
      </c>
    </row>
    <row r="477">
      <c r="A477" t="inlineStr">
        <is>
          <t>ORD00476</t>
        </is>
      </c>
      <c r="B477" s="13" t="n">
        <v>46282</v>
      </c>
      <c r="C477" t="inlineStr">
        <is>
          <t>C029</t>
        </is>
      </c>
      <c r="D477" t="inlineStr">
        <is>
          <t>P005</t>
        </is>
      </c>
      <c r="E477" t="n">
        <v>2</v>
      </c>
      <c r="F477" s="14" t="n">
        <v>3695</v>
      </c>
      <c r="G477" s="14" t="n">
        <v>2100</v>
      </c>
      <c r="H477" s="11" t="n">
        <v>0.1</v>
      </c>
      <c r="I477" s="14" t="n">
        <v>6651</v>
      </c>
      <c r="J477" s="14" t="n">
        <v>4200</v>
      </c>
      <c r="K477" s="14" t="n">
        <v>2451</v>
      </c>
      <c r="L477" t="inlineStr">
        <is>
          <t>Cash</t>
        </is>
      </c>
      <c r="M477" t="inlineStr">
        <is>
          <t>Completed</t>
        </is>
      </c>
      <c r="N477" t="inlineStr">
        <is>
          <t>Walk-in</t>
        </is>
      </c>
    </row>
    <row r="478">
      <c r="A478" t="inlineStr">
        <is>
          <t>ORD00477</t>
        </is>
      </c>
      <c r="B478" s="13" t="n">
        <v>46088</v>
      </c>
      <c r="C478" t="inlineStr">
        <is>
          <t>C025</t>
        </is>
      </c>
      <c r="D478" t="inlineStr">
        <is>
          <t>P012</t>
        </is>
      </c>
      <c r="E478" t="n">
        <v>1</v>
      </c>
      <c r="F478" s="14" t="n">
        <v>1595</v>
      </c>
      <c r="G478" s="14" t="n">
        <v>900</v>
      </c>
      <c r="H478" s="11" t="n">
        <v>0.05</v>
      </c>
      <c r="I478" s="14" t="n">
        <v>1515.25</v>
      </c>
      <c r="J478" s="14" t="n">
        <v>900</v>
      </c>
      <c r="K478" s="14" t="n">
        <v>615.25</v>
      </c>
      <c r="L478" t="inlineStr">
        <is>
          <t>Cash</t>
        </is>
      </c>
      <c r="M478" t="inlineStr">
        <is>
          <t>Completed</t>
        </is>
      </c>
      <c r="N478" t="inlineStr">
        <is>
          <t>TikTok</t>
        </is>
      </c>
    </row>
    <row r="479">
      <c r="A479" t="inlineStr">
        <is>
          <t>ORD00478</t>
        </is>
      </c>
      <c r="B479" s="13" t="n">
        <v>46068</v>
      </c>
      <c r="C479" t="inlineStr">
        <is>
          <t>C028</t>
        </is>
      </c>
      <c r="D479" t="inlineStr">
        <is>
          <t>P004</t>
        </is>
      </c>
      <c r="E479" t="n">
        <v>1</v>
      </c>
      <c r="F479" s="14" t="n">
        <v>3995</v>
      </c>
      <c r="G479" s="14" t="n">
        <v>2200</v>
      </c>
      <c r="H479" s="11" t="n">
        <v>0.1</v>
      </c>
      <c r="I479" s="14" t="n">
        <v>3595.5</v>
      </c>
      <c r="J479" s="14" t="n">
        <v>2200</v>
      </c>
      <c r="K479" s="14" t="n">
        <v>1395.5</v>
      </c>
      <c r="L479" t="inlineStr">
        <is>
          <t>Card</t>
        </is>
      </c>
      <c r="M479" t="inlineStr">
        <is>
          <t>Completed</t>
        </is>
      </c>
      <c r="N479" t="inlineStr">
        <is>
          <t>TikTok</t>
        </is>
      </c>
    </row>
    <row r="480">
      <c r="A480" t="inlineStr">
        <is>
          <t>ORD00479</t>
        </is>
      </c>
      <c r="B480" s="13" t="n">
        <v>46213</v>
      </c>
      <c r="C480" t="inlineStr">
        <is>
          <t>C028</t>
        </is>
      </c>
      <c r="D480" t="inlineStr">
        <is>
          <t>P005</t>
        </is>
      </c>
      <c r="E480" t="n">
        <v>1</v>
      </c>
      <c r="F480" s="14" t="n">
        <v>3695</v>
      </c>
      <c r="G480" s="14" t="n">
        <v>2100</v>
      </c>
      <c r="H480" s="11" t="n">
        <v>0.03</v>
      </c>
      <c r="I480" s="14" t="n">
        <v>3584.15</v>
      </c>
      <c r="J480" s="14" t="n">
        <v>2100</v>
      </c>
      <c r="K480" s="14" t="n">
        <v>1484.15</v>
      </c>
      <c r="L480" t="inlineStr">
        <is>
          <t>GCash</t>
        </is>
      </c>
      <c r="M480" t="inlineStr">
        <is>
          <t>Completed</t>
        </is>
      </c>
      <c r="N480" t="inlineStr">
        <is>
          <t>Website</t>
        </is>
      </c>
    </row>
    <row r="481">
      <c r="A481" t="inlineStr">
        <is>
          <t>ORD00480</t>
        </is>
      </c>
      <c r="B481" s="13" t="n">
        <v>46264</v>
      </c>
      <c r="C481" t="inlineStr">
        <is>
          <t>C013</t>
        </is>
      </c>
      <c r="D481" t="inlineStr">
        <is>
          <t>P004</t>
        </is>
      </c>
      <c r="E481" t="n">
        <v>1</v>
      </c>
      <c r="F481" s="14" t="n">
        <v>3995</v>
      </c>
      <c r="G481" s="14" t="n">
        <v>2200</v>
      </c>
      <c r="H481" s="11" t="n">
        <v>0.1</v>
      </c>
      <c r="I481" s="14" t="n">
        <v>3595.5</v>
      </c>
      <c r="J481" s="14" t="n">
        <v>2200</v>
      </c>
      <c r="K481" s="14" t="n">
        <v>1395.5</v>
      </c>
      <c r="L481" t="inlineStr">
        <is>
          <t>Card</t>
        </is>
      </c>
      <c r="M481" t="inlineStr">
        <is>
          <t>Completed</t>
        </is>
      </c>
      <c r="N481" t="inlineStr">
        <is>
          <t>Facebook</t>
        </is>
      </c>
    </row>
    <row r="482">
      <c r="A482" t="inlineStr">
        <is>
          <t>ORD00481</t>
        </is>
      </c>
      <c r="B482" s="13" t="n">
        <v>46093</v>
      </c>
      <c r="C482" t="inlineStr">
        <is>
          <t>C029</t>
        </is>
      </c>
      <c r="D482" t="inlineStr">
        <is>
          <t>P004</t>
        </is>
      </c>
      <c r="E482" t="n">
        <v>1</v>
      </c>
      <c r="F482" s="14" t="n">
        <v>3995</v>
      </c>
      <c r="G482" s="14" t="n">
        <v>2200</v>
      </c>
      <c r="H482" s="11" t="n">
        <v>0.05</v>
      </c>
      <c r="I482" s="14" t="n">
        <v>3795.25</v>
      </c>
      <c r="J482" s="14" t="n">
        <v>2200</v>
      </c>
      <c r="K482" s="14" t="n">
        <v>1595.25</v>
      </c>
      <c r="L482" t="inlineStr">
        <is>
          <t>Maya</t>
        </is>
      </c>
      <c r="M482" t="inlineStr">
        <is>
          <t>Completed</t>
        </is>
      </c>
      <c r="N482" t="inlineStr">
        <is>
          <t>Facebook</t>
        </is>
      </c>
    </row>
    <row r="483">
      <c r="A483" t="inlineStr">
        <is>
          <t>ORD00482</t>
        </is>
      </c>
      <c r="B483" s="13" t="n">
        <v>46064</v>
      </c>
      <c r="C483" t="inlineStr">
        <is>
          <t>C011</t>
        </is>
      </c>
      <c r="D483" t="inlineStr">
        <is>
          <t>P008</t>
        </is>
      </c>
      <c r="E483" t="n">
        <v>1</v>
      </c>
      <c r="F483" s="14" t="n">
        <v>4595</v>
      </c>
      <c r="G483" s="14" t="n">
        <v>2800</v>
      </c>
      <c r="H483" s="11" t="n">
        <v>0</v>
      </c>
      <c r="I483" s="14" t="n">
        <v>4595</v>
      </c>
      <c r="J483" s="14" t="n">
        <v>2800</v>
      </c>
      <c r="K483" s="14" t="n">
        <v>1795</v>
      </c>
      <c r="L483" t="inlineStr">
        <is>
          <t>GCash</t>
        </is>
      </c>
      <c r="M483" t="inlineStr">
        <is>
          <t>Completed</t>
        </is>
      </c>
      <c r="N483" t="inlineStr">
        <is>
          <t>TikTok</t>
        </is>
      </c>
    </row>
    <row r="484">
      <c r="A484" t="inlineStr">
        <is>
          <t>ORD00483</t>
        </is>
      </c>
      <c r="B484" s="13" t="n">
        <v>46130</v>
      </c>
      <c r="C484" t="inlineStr">
        <is>
          <t>C016</t>
        </is>
      </c>
      <c r="D484" t="inlineStr">
        <is>
          <t>P003</t>
        </is>
      </c>
      <c r="E484" t="n">
        <v>1</v>
      </c>
      <c r="F484" s="14" t="n">
        <v>5995</v>
      </c>
      <c r="G484" s="14" t="n">
        <v>3800</v>
      </c>
      <c r="H484" s="11" t="n">
        <v>0</v>
      </c>
      <c r="I484" s="14" t="n">
        <v>5995</v>
      </c>
      <c r="J484" s="14" t="n">
        <v>3800</v>
      </c>
      <c r="K484" s="14" t="n">
        <v>2195</v>
      </c>
      <c r="L484" t="inlineStr">
        <is>
          <t>GCash</t>
        </is>
      </c>
      <c r="M484" t="inlineStr">
        <is>
          <t>Completed</t>
        </is>
      </c>
      <c r="N484" t="inlineStr">
        <is>
          <t>Walk-in</t>
        </is>
      </c>
    </row>
    <row r="485">
      <c r="A485" t="inlineStr">
        <is>
          <t>ORD00484</t>
        </is>
      </c>
      <c r="B485" s="13" t="n">
        <v>46242</v>
      </c>
      <c r="C485" t="inlineStr">
        <is>
          <t>C013</t>
        </is>
      </c>
      <c r="D485" t="inlineStr">
        <is>
          <t>P007</t>
        </is>
      </c>
      <c r="E485" t="n">
        <v>1</v>
      </c>
      <c r="F485" s="14" t="n">
        <v>5295</v>
      </c>
      <c r="G485" s="14" t="n">
        <v>3300</v>
      </c>
      <c r="H485" s="11" t="n">
        <v>0.03</v>
      </c>
      <c r="I485" s="14" t="n">
        <v>5136.15</v>
      </c>
      <c r="J485" s="14" t="n">
        <v>3300</v>
      </c>
      <c r="K485" s="14" t="n">
        <v>1836.15</v>
      </c>
      <c r="L485" t="inlineStr">
        <is>
          <t>GCash</t>
        </is>
      </c>
      <c r="M485" t="inlineStr">
        <is>
          <t>Completed</t>
        </is>
      </c>
      <c r="N485" t="inlineStr">
        <is>
          <t>Facebook</t>
        </is>
      </c>
    </row>
    <row r="486">
      <c r="A486" t="inlineStr">
        <is>
          <t>ORD00485</t>
        </is>
      </c>
      <c r="B486" s="13" t="n">
        <v>46214</v>
      </c>
      <c r="C486" t="inlineStr">
        <is>
          <t>C007</t>
        </is>
      </c>
      <c r="D486" t="inlineStr">
        <is>
          <t>P001</t>
        </is>
      </c>
      <c r="E486" t="n">
        <v>3</v>
      </c>
      <c r="F486" s="14" t="n">
        <v>4995</v>
      </c>
      <c r="G486" s="14" t="n">
        <v>3200</v>
      </c>
      <c r="H486" s="11" t="n">
        <v>0.05</v>
      </c>
      <c r="I486" s="14" t="n">
        <v>14235.75</v>
      </c>
      <c r="J486" s="14" t="n">
        <v>9600</v>
      </c>
      <c r="K486" s="14" t="n">
        <v>4635.75</v>
      </c>
      <c r="L486" t="inlineStr">
        <is>
          <t>GCash</t>
        </is>
      </c>
      <c r="M486" t="inlineStr">
        <is>
          <t>Completed</t>
        </is>
      </c>
      <c r="N486" t="inlineStr">
        <is>
          <t>Facebook</t>
        </is>
      </c>
    </row>
    <row r="487">
      <c r="A487" t="inlineStr">
        <is>
          <t>ORD00486</t>
        </is>
      </c>
      <c r="B487" s="13" t="n">
        <v>46138</v>
      </c>
      <c r="C487" t="inlineStr">
        <is>
          <t>C005</t>
        </is>
      </c>
      <c r="D487" t="inlineStr">
        <is>
          <t>P012</t>
        </is>
      </c>
      <c r="E487" t="n">
        <v>3</v>
      </c>
      <c r="F487" s="14" t="n">
        <v>1595</v>
      </c>
      <c r="G487" s="14" t="n">
        <v>900</v>
      </c>
      <c r="H487" s="11" t="n">
        <v>0</v>
      </c>
      <c r="I487" s="14" t="n">
        <v>4785</v>
      </c>
      <c r="J487" s="14" t="n">
        <v>2700</v>
      </c>
      <c r="K487" s="14" t="n">
        <v>2085</v>
      </c>
      <c r="L487" t="inlineStr">
        <is>
          <t>GCash</t>
        </is>
      </c>
      <c r="M487" t="inlineStr">
        <is>
          <t>Completed</t>
        </is>
      </c>
      <c r="N487" t="inlineStr">
        <is>
          <t>TikTok</t>
        </is>
      </c>
    </row>
    <row r="488">
      <c r="A488" t="inlineStr">
        <is>
          <t>ORD00487</t>
        </is>
      </c>
      <c r="B488" s="13" t="n">
        <v>46108</v>
      </c>
      <c r="C488" t="inlineStr">
        <is>
          <t>C010</t>
        </is>
      </c>
      <c r="D488" t="inlineStr">
        <is>
          <t>P002</t>
        </is>
      </c>
      <c r="E488" t="n">
        <v>2</v>
      </c>
      <c r="F488" s="14" t="n">
        <v>5495</v>
      </c>
      <c r="G488" s="14" t="n">
        <v>3500</v>
      </c>
      <c r="H488" s="11" t="n">
        <v>0</v>
      </c>
      <c r="I488" s="14" t="n">
        <v>10990</v>
      </c>
      <c r="J488" s="14" t="n">
        <v>7000</v>
      </c>
      <c r="K488" s="14" t="n">
        <v>3990</v>
      </c>
      <c r="L488" t="inlineStr">
        <is>
          <t>Maya</t>
        </is>
      </c>
      <c r="M488" t="inlineStr">
        <is>
          <t>Completed</t>
        </is>
      </c>
      <c r="N488" t="inlineStr">
        <is>
          <t>TikTok</t>
        </is>
      </c>
    </row>
    <row r="489">
      <c r="A489" t="inlineStr">
        <is>
          <t>ORD00488</t>
        </is>
      </c>
      <c r="B489" s="13" t="n">
        <v>46245</v>
      </c>
      <c r="C489" t="inlineStr">
        <is>
          <t>C029</t>
        </is>
      </c>
      <c r="D489" t="inlineStr">
        <is>
          <t>P011</t>
        </is>
      </c>
      <c r="E489" t="n">
        <v>4</v>
      </c>
      <c r="F489" s="14" t="n">
        <v>1495</v>
      </c>
      <c r="G489" s="14" t="n">
        <v>850</v>
      </c>
      <c r="H489" s="11" t="n">
        <v>0</v>
      </c>
      <c r="I489" s="14" t="n">
        <v>5980</v>
      </c>
      <c r="J489" s="14" t="n">
        <v>3400</v>
      </c>
      <c r="K489" s="14" t="n">
        <v>2580</v>
      </c>
      <c r="L489" t="inlineStr">
        <is>
          <t>Maya</t>
        </is>
      </c>
      <c r="M489" t="inlineStr">
        <is>
          <t>Completed</t>
        </is>
      </c>
      <c r="N489" t="inlineStr">
        <is>
          <t>Facebook</t>
        </is>
      </c>
    </row>
    <row r="490">
      <c r="A490" t="inlineStr">
        <is>
          <t>ORD00489</t>
        </is>
      </c>
      <c r="B490" s="13" t="n">
        <v>46107</v>
      </c>
      <c r="C490" t="inlineStr">
        <is>
          <t>C024</t>
        </is>
      </c>
      <c r="D490" t="inlineStr">
        <is>
          <t>P007</t>
        </is>
      </c>
      <c r="E490" t="n">
        <v>1</v>
      </c>
      <c r="F490" s="14" t="n">
        <v>5295</v>
      </c>
      <c r="G490" s="14" t="n">
        <v>3300</v>
      </c>
      <c r="H490" s="11" t="n">
        <v>0</v>
      </c>
      <c r="I490" s="14" t="n">
        <v>5295</v>
      </c>
      <c r="J490" s="14" t="n">
        <v>3300</v>
      </c>
      <c r="K490" s="14" t="n">
        <v>1995</v>
      </c>
      <c r="L490" t="inlineStr">
        <is>
          <t>Cash</t>
        </is>
      </c>
      <c r="M490" t="inlineStr">
        <is>
          <t>Completed</t>
        </is>
      </c>
      <c r="N490" t="inlineStr">
        <is>
          <t>Website</t>
        </is>
      </c>
    </row>
    <row r="491">
      <c r="A491" t="inlineStr">
        <is>
          <t>ORD00490</t>
        </is>
      </c>
      <c r="B491" s="13" t="n">
        <v>46281</v>
      </c>
      <c r="C491" t="inlineStr">
        <is>
          <t>C021</t>
        </is>
      </c>
      <c r="D491" t="inlineStr">
        <is>
          <t>P003</t>
        </is>
      </c>
      <c r="E491" t="n">
        <v>1</v>
      </c>
      <c r="F491" s="14" t="n">
        <v>5995</v>
      </c>
      <c r="G491" s="14" t="n">
        <v>3800</v>
      </c>
      <c r="H491" s="11" t="n">
        <v>0.1</v>
      </c>
      <c r="I491" s="14" t="n">
        <v>5395.5</v>
      </c>
      <c r="J491" s="14" t="n">
        <v>3800</v>
      </c>
      <c r="K491" s="14" t="n">
        <v>1595.5</v>
      </c>
      <c r="L491" t="inlineStr">
        <is>
          <t>GCash</t>
        </is>
      </c>
      <c r="M491" t="inlineStr">
        <is>
          <t>Completed</t>
        </is>
      </c>
      <c r="N491" t="inlineStr">
        <is>
          <t>TikTok</t>
        </is>
      </c>
    </row>
    <row r="492">
      <c r="A492" t="inlineStr">
        <is>
          <t>ORD00491</t>
        </is>
      </c>
      <c r="B492" s="13" t="n">
        <v>46296</v>
      </c>
      <c r="C492" t="inlineStr">
        <is>
          <t>C022</t>
        </is>
      </c>
      <c r="D492" t="inlineStr">
        <is>
          <t>P010</t>
        </is>
      </c>
      <c r="E492" t="n">
        <v>1</v>
      </c>
      <c r="F492" s="14" t="n">
        <v>4495</v>
      </c>
      <c r="G492" s="14" t="n">
        <v>2600</v>
      </c>
      <c r="H492" s="11" t="n">
        <v>0</v>
      </c>
      <c r="I492" s="14" t="n">
        <v>4495</v>
      </c>
      <c r="J492" s="14" t="n">
        <v>2600</v>
      </c>
      <c r="K492" s="14" t="n">
        <v>1895</v>
      </c>
      <c r="L492" t="inlineStr">
        <is>
          <t>GCash</t>
        </is>
      </c>
      <c r="M492" t="inlineStr">
        <is>
          <t>Completed</t>
        </is>
      </c>
      <c r="N492" t="inlineStr">
        <is>
          <t>Website</t>
        </is>
      </c>
    </row>
    <row r="493">
      <c r="A493" t="inlineStr">
        <is>
          <t>ORD00492</t>
        </is>
      </c>
      <c r="B493" s="13" t="n">
        <v>46047</v>
      </c>
      <c r="C493" t="inlineStr">
        <is>
          <t>C013</t>
        </is>
      </c>
      <c r="D493" t="inlineStr">
        <is>
          <t>P012</t>
        </is>
      </c>
      <c r="E493" t="n">
        <v>1</v>
      </c>
      <c r="F493" s="14" t="n">
        <v>1595</v>
      </c>
      <c r="G493" s="14" t="n">
        <v>900</v>
      </c>
      <c r="H493" s="11" t="n">
        <v>0.03</v>
      </c>
      <c r="I493" s="14" t="n">
        <v>1547.15</v>
      </c>
      <c r="J493" s="14" t="n">
        <v>900</v>
      </c>
      <c r="K493" s="14" t="n">
        <v>647.1499999999999</v>
      </c>
      <c r="L493" t="inlineStr">
        <is>
          <t>GCash</t>
        </is>
      </c>
      <c r="M493" t="inlineStr">
        <is>
          <t>Completed</t>
        </is>
      </c>
      <c r="N493" t="inlineStr">
        <is>
          <t>Walk-in</t>
        </is>
      </c>
    </row>
    <row r="494">
      <c r="A494" t="inlineStr">
        <is>
          <t>ORD00493</t>
        </is>
      </c>
      <c r="B494" s="13" t="n">
        <v>46101</v>
      </c>
      <c r="C494" t="inlineStr">
        <is>
          <t>C001</t>
        </is>
      </c>
      <c r="D494" t="inlineStr">
        <is>
          <t>P004</t>
        </is>
      </c>
      <c r="E494" t="n">
        <v>2</v>
      </c>
      <c r="F494" s="14" t="n">
        <v>3995</v>
      </c>
      <c r="G494" s="14" t="n">
        <v>2200</v>
      </c>
      <c r="H494" s="11" t="n">
        <v>0.1</v>
      </c>
      <c r="I494" s="14" t="n">
        <v>7191</v>
      </c>
      <c r="J494" s="14" t="n">
        <v>4400</v>
      </c>
      <c r="K494" s="14" t="n">
        <v>2791</v>
      </c>
      <c r="L494" t="inlineStr">
        <is>
          <t>Card</t>
        </is>
      </c>
      <c r="M494" t="inlineStr">
        <is>
          <t>Completed</t>
        </is>
      </c>
      <c r="N494" t="inlineStr">
        <is>
          <t>Website</t>
        </is>
      </c>
    </row>
    <row r="495">
      <c r="A495" t="inlineStr">
        <is>
          <t>ORD00494</t>
        </is>
      </c>
      <c r="B495" s="13" t="n">
        <v>46289</v>
      </c>
      <c r="C495" t="inlineStr">
        <is>
          <t>C005</t>
        </is>
      </c>
      <c r="D495" t="inlineStr">
        <is>
          <t>P005</t>
        </is>
      </c>
      <c r="E495" t="n">
        <v>2</v>
      </c>
      <c r="F495" s="14" t="n">
        <v>3695</v>
      </c>
      <c r="G495" s="14" t="n">
        <v>2100</v>
      </c>
      <c r="H495" s="11" t="n">
        <v>0.1</v>
      </c>
      <c r="I495" s="14" t="n">
        <v>6651</v>
      </c>
      <c r="J495" s="14" t="n">
        <v>4200</v>
      </c>
      <c r="K495" s="14" t="n">
        <v>2451</v>
      </c>
      <c r="L495" t="inlineStr">
        <is>
          <t>Maya</t>
        </is>
      </c>
      <c r="M495" t="inlineStr">
        <is>
          <t>Completed</t>
        </is>
      </c>
      <c r="N495" t="inlineStr">
        <is>
          <t>Website</t>
        </is>
      </c>
    </row>
    <row r="496">
      <c r="A496" t="inlineStr">
        <is>
          <t>ORD00495</t>
        </is>
      </c>
      <c r="B496" s="13" t="n">
        <v>46284</v>
      </c>
      <c r="C496" t="inlineStr">
        <is>
          <t>C004</t>
        </is>
      </c>
      <c r="D496" t="inlineStr">
        <is>
          <t>P012</t>
        </is>
      </c>
      <c r="E496" t="n">
        <v>2</v>
      </c>
      <c r="F496" s="14" t="n">
        <v>1595</v>
      </c>
      <c r="G496" s="14" t="n">
        <v>900</v>
      </c>
      <c r="H496" s="11" t="n">
        <v>0</v>
      </c>
      <c r="I496" s="14" t="n">
        <v>3190</v>
      </c>
      <c r="J496" s="14" t="n">
        <v>1800</v>
      </c>
      <c r="K496" s="14" t="n">
        <v>1390</v>
      </c>
      <c r="L496" t="inlineStr">
        <is>
          <t>GCash</t>
        </is>
      </c>
      <c r="M496" t="inlineStr">
        <is>
          <t>Completed</t>
        </is>
      </c>
      <c r="N496" t="inlineStr">
        <is>
          <t>Facebook</t>
        </is>
      </c>
    </row>
    <row r="497">
      <c r="A497" t="inlineStr">
        <is>
          <t>ORD00496</t>
        </is>
      </c>
      <c r="B497" s="13" t="n">
        <v>46157</v>
      </c>
      <c r="C497" t="inlineStr">
        <is>
          <t>C023</t>
        </is>
      </c>
      <c r="D497" t="inlineStr">
        <is>
          <t>P009</t>
        </is>
      </c>
      <c r="E497" t="n">
        <v>4</v>
      </c>
      <c r="F497" s="14" t="n">
        <v>5795</v>
      </c>
      <c r="G497" s="14" t="n">
        <v>3600</v>
      </c>
      <c r="H497" s="11" t="n">
        <v>0</v>
      </c>
      <c r="I497" s="14" t="n">
        <v>23180</v>
      </c>
      <c r="J497" s="14" t="n">
        <v>14400</v>
      </c>
      <c r="K497" s="14" t="n">
        <v>8780</v>
      </c>
      <c r="L497" t="inlineStr">
        <is>
          <t>Maya</t>
        </is>
      </c>
      <c r="M497" t="inlineStr">
        <is>
          <t>Completed</t>
        </is>
      </c>
      <c r="N497" t="inlineStr">
        <is>
          <t>Website</t>
        </is>
      </c>
    </row>
    <row r="498">
      <c r="A498" t="inlineStr">
        <is>
          <t>ORD00497</t>
        </is>
      </c>
      <c r="B498" s="13" t="n">
        <v>46303</v>
      </c>
      <c r="C498" t="inlineStr">
        <is>
          <t>C030</t>
        </is>
      </c>
      <c r="D498" t="inlineStr">
        <is>
          <t>P008</t>
        </is>
      </c>
      <c r="E498" t="n">
        <v>3</v>
      </c>
      <c r="F498" s="14" t="n">
        <v>4595</v>
      </c>
      <c r="G498" s="14" t="n">
        <v>2800</v>
      </c>
      <c r="H498" s="11" t="n">
        <v>0.1</v>
      </c>
      <c r="I498" s="14" t="n">
        <v>12406.5</v>
      </c>
      <c r="J498" s="14" t="n">
        <v>8400</v>
      </c>
      <c r="K498" s="14" t="n">
        <v>4006.5</v>
      </c>
      <c r="L498" t="inlineStr">
        <is>
          <t>Maya</t>
        </is>
      </c>
      <c r="M498" t="inlineStr">
        <is>
          <t>Completed</t>
        </is>
      </c>
      <c r="N498" t="inlineStr">
        <is>
          <t>Website</t>
        </is>
      </c>
    </row>
    <row r="499">
      <c r="A499" t="inlineStr">
        <is>
          <t>ORD00498</t>
        </is>
      </c>
      <c r="B499" s="13" t="n">
        <v>46029</v>
      </c>
      <c r="C499" t="inlineStr">
        <is>
          <t>C027</t>
        </is>
      </c>
      <c r="D499" t="inlineStr">
        <is>
          <t>P011</t>
        </is>
      </c>
      <c r="E499" t="n">
        <v>1</v>
      </c>
      <c r="F499" s="14" t="n">
        <v>1495</v>
      </c>
      <c r="G499" s="14" t="n">
        <v>850</v>
      </c>
      <c r="H499" s="11" t="n">
        <v>0</v>
      </c>
      <c r="I499" s="14" t="n">
        <v>1495</v>
      </c>
      <c r="J499" s="14" t="n">
        <v>850</v>
      </c>
      <c r="K499" s="14" t="n">
        <v>645</v>
      </c>
      <c r="L499" t="inlineStr">
        <is>
          <t>Maya</t>
        </is>
      </c>
      <c r="M499" t="inlineStr">
        <is>
          <t>Completed</t>
        </is>
      </c>
      <c r="N499" t="inlineStr">
        <is>
          <t>Website</t>
        </is>
      </c>
    </row>
    <row r="500">
      <c r="A500" t="inlineStr">
        <is>
          <t>ORD00499</t>
        </is>
      </c>
      <c r="B500" s="13" t="n">
        <v>46284</v>
      </c>
      <c r="C500" t="inlineStr">
        <is>
          <t>C029</t>
        </is>
      </c>
      <c r="D500" t="inlineStr">
        <is>
          <t>P002</t>
        </is>
      </c>
      <c r="E500" t="n">
        <v>2</v>
      </c>
      <c r="F500" s="14" t="n">
        <v>5495</v>
      </c>
      <c r="G500" s="14" t="n">
        <v>3500</v>
      </c>
      <c r="H500" s="11" t="n">
        <v>0</v>
      </c>
      <c r="I500" s="14" t="n">
        <v>10990</v>
      </c>
      <c r="J500" s="14" t="n">
        <v>7000</v>
      </c>
      <c r="K500" s="14" t="n">
        <v>3990</v>
      </c>
      <c r="L500" t="inlineStr">
        <is>
          <t>Card</t>
        </is>
      </c>
      <c r="M500" t="inlineStr">
        <is>
          <t>Completed</t>
        </is>
      </c>
      <c r="N500" t="inlineStr">
        <is>
          <t>Walk-in</t>
        </is>
      </c>
    </row>
    <row r="501">
      <c r="A501" t="inlineStr">
        <is>
          <t>ORD00500</t>
        </is>
      </c>
      <c r="B501" s="13" t="n">
        <v>46174</v>
      </c>
      <c r="C501" t="inlineStr">
        <is>
          <t>C027</t>
        </is>
      </c>
      <c r="D501" t="inlineStr">
        <is>
          <t>P005</t>
        </is>
      </c>
      <c r="E501" t="n">
        <v>1</v>
      </c>
      <c r="F501" s="14" t="n">
        <v>3695</v>
      </c>
      <c r="G501" s="14" t="n">
        <v>2100</v>
      </c>
      <c r="H501" s="11" t="n">
        <v>0</v>
      </c>
      <c r="I501" s="14" t="n">
        <v>3695</v>
      </c>
      <c r="J501" s="14" t="n">
        <v>2100</v>
      </c>
      <c r="K501" s="14" t="n">
        <v>1595</v>
      </c>
      <c r="L501" t="inlineStr">
        <is>
          <t>Cash</t>
        </is>
      </c>
      <c r="M501" t="inlineStr">
        <is>
          <t>Completed</t>
        </is>
      </c>
      <c r="N501" t="inlineStr">
        <is>
          <t>TikTok</t>
        </is>
      </c>
    </row>
  </sheetData>
  <autoFilter ref="A1:N501"/>
  <conditionalFormatting sqref="K2:K5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2" customWidth="1" min="5" max="5"/>
    <col width="15" customWidth="1" min="6" max="6"/>
    <col width="15" customWidth="1" min="7" max="7"/>
  </cols>
  <sheetData>
    <row r="1">
      <c r="A1" s="12" t="inlineStr">
        <is>
          <t>Product_ID</t>
        </is>
      </c>
      <c r="B1" s="12" t="inlineStr">
        <is>
          <t>Product_Name</t>
        </is>
      </c>
      <c r="C1" s="12" t="inlineStr">
        <is>
          <t>Category</t>
        </is>
      </c>
      <c r="D1" s="12" t="inlineStr">
        <is>
          <t>Brand</t>
        </is>
      </c>
      <c r="E1" s="12" t="inlineStr">
        <is>
          <t>Unit_Cost</t>
        </is>
      </c>
      <c r="F1" s="12" t="inlineStr">
        <is>
          <t>Selling_Price</t>
        </is>
      </c>
      <c r="G1" s="12" t="inlineStr">
        <is>
          <t>Current_Stock</t>
        </is>
      </c>
      <c r="I1" s="6" t="inlineStr">
        <is>
          <t>PRODUCT PERFORMANCE ANALYSIS</t>
        </is>
      </c>
    </row>
    <row r="2">
      <c r="A2" t="inlineStr">
        <is>
          <t>P001</t>
        </is>
      </c>
      <c r="B2" t="inlineStr">
        <is>
          <t>Nike Air Force 1</t>
        </is>
      </c>
      <c r="C2" t="inlineStr">
        <is>
          <t>Sneakers</t>
        </is>
      </c>
      <c r="D2" t="inlineStr">
        <is>
          <t>Nike</t>
        </is>
      </c>
      <c r="E2" s="14" t="n">
        <v>3200</v>
      </c>
      <c r="F2" s="14" t="n">
        <v>4995</v>
      </c>
      <c r="G2" t="n">
        <v>35</v>
      </c>
    </row>
    <row r="3">
      <c r="A3" t="inlineStr">
        <is>
          <t>P002</t>
        </is>
      </c>
      <c r="B3" t="inlineStr">
        <is>
          <t>Adidas Samba OG</t>
        </is>
      </c>
      <c r="C3" t="inlineStr">
        <is>
          <t>Sneakers</t>
        </is>
      </c>
      <c r="D3" t="inlineStr">
        <is>
          <t>Adidas</t>
        </is>
      </c>
      <c r="E3" s="14" t="n">
        <v>3500</v>
      </c>
      <c r="F3" s="14" t="n">
        <v>5495</v>
      </c>
      <c r="G3" t="n">
        <v>28</v>
      </c>
      <c r="I3" s="9" t="inlineStr">
        <is>
          <t>Product</t>
        </is>
      </c>
      <c r="J3" s="9" t="inlineStr">
        <is>
          <t>Units Sold</t>
        </is>
      </c>
      <c r="K3" s="9" t="inlineStr">
        <is>
          <t>Revenue</t>
        </is>
      </c>
      <c r="L3" s="9" t="inlineStr">
        <is>
          <t>Gross Profit</t>
        </is>
      </c>
      <c r="M3" s="9" t="inlineStr">
        <is>
          <t>Margin %</t>
        </is>
      </c>
      <c r="N3" s="9" t="inlineStr">
        <is>
          <t>Stock</t>
        </is>
      </c>
      <c r="O3" s="9" t="inlineStr">
        <is>
          <t>Stock Status</t>
        </is>
      </c>
      <c r="P3" s="9" t="inlineStr">
        <is>
          <t>Revenue Rank</t>
        </is>
      </c>
    </row>
    <row r="4">
      <c r="A4" t="inlineStr">
        <is>
          <t>P003</t>
        </is>
      </c>
      <c r="B4" t="inlineStr">
        <is>
          <t>New Balance 530</t>
        </is>
      </c>
      <c r="C4" t="inlineStr">
        <is>
          <t>Sneakers</t>
        </is>
      </c>
      <c r="D4" t="inlineStr">
        <is>
          <t>New Balance</t>
        </is>
      </c>
      <c r="E4" s="14" t="n">
        <v>3800</v>
      </c>
      <c r="F4" s="14" t="n">
        <v>5995</v>
      </c>
      <c r="G4" t="n">
        <v>22</v>
      </c>
      <c r="I4">
        <f>B2</f>
        <v/>
      </c>
      <c r="J4">
        <f>SUMIF(Sales_Data!$D:$D,A2,Sales_Data!$E:$E)</f>
        <v/>
      </c>
      <c r="K4" s="10">
        <f>SUMIF(Sales_Data!$D:$D,A2,Sales_Data!$I:$I)</f>
        <v/>
      </c>
      <c r="L4" s="10">
        <f>SUMIF(Sales_Data!$D:$D,A2,Sales_Data!$K:$K)</f>
        <v/>
      </c>
      <c r="M4" s="11">
        <f>IFERROR(L4/K4,0)</f>
        <v/>
      </c>
      <c r="N4">
        <f>G2</f>
        <v/>
      </c>
      <c r="O4">
        <f>IF(N4&lt;=10,"CRITICAL",IF(N4&lt;=20,"LOW","HEALTHY"))</f>
        <v/>
      </c>
      <c r="P4">
        <f>RANK(K4,$K$4:$K$15,0)</f>
        <v/>
      </c>
    </row>
    <row r="5">
      <c r="A5" t="inlineStr">
        <is>
          <t>P004</t>
        </is>
      </c>
      <c r="B5" t="inlineStr">
        <is>
          <t>Vans Old Skool</t>
        </is>
      </c>
      <c r="C5" t="inlineStr">
        <is>
          <t>Sneakers</t>
        </is>
      </c>
      <c r="D5" t="inlineStr">
        <is>
          <t>Vans</t>
        </is>
      </c>
      <c r="E5" s="14" t="n">
        <v>2200</v>
      </c>
      <c r="F5" s="14" t="n">
        <v>3995</v>
      </c>
      <c r="G5" t="n">
        <v>40</v>
      </c>
      <c r="I5">
        <f>B3</f>
        <v/>
      </c>
      <c r="J5">
        <f>SUMIF(Sales_Data!$D:$D,A3,Sales_Data!$E:$E)</f>
        <v/>
      </c>
      <c r="K5" s="10">
        <f>SUMIF(Sales_Data!$D:$D,A3,Sales_Data!$I:$I)</f>
        <v/>
      </c>
      <c r="L5" s="10">
        <f>SUMIF(Sales_Data!$D:$D,A3,Sales_Data!$K:$K)</f>
        <v/>
      </c>
      <c r="M5" s="11">
        <f>IFERROR(L5/K5,0)</f>
        <v/>
      </c>
      <c r="N5">
        <f>G3</f>
        <v/>
      </c>
      <c r="O5">
        <f>IF(N5&lt;=10,"CRITICAL",IF(N5&lt;=20,"LOW","HEALTHY"))</f>
        <v/>
      </c>
      <c r="P5">
        <f>RANK(K5,$K$4:$K$15,0)</f>
        <v/>
      </c>
    </row>
    <row r="6">
      <c r="A6" t="inlineStr">
        <is>
          <t>P005</t>
        </is>
      </c>
      <c r="B6" t="inlineStr">
        <is>
          <t>Puma Suede Classic</t>
        </is>
      </c>
      <c r="C6" t="inlineStr">
        <is>
          <t>Sneakers</t>
        </is>
      </c>
      <c r="D6" t="inlineStr">
        <is>
          <t>Puma</t>
        </is>
      </c>
      <c r="E6" s="14" t="n">
        <v>2100</v>
      </c>
      <c r="F6" s="14" t="n">
        <v>3695</v>
      </c>
      <c r="G6" t="n">
        <v>31</v>
      </c>
      <c r="I6">
        <f>B4</f>
        <v/>
      </c>
      <c r="J6">
        <f>SUMIF(Sales_Data!$D:$D,A4,Sales_Data!$E:$E)</f>
        <v/>
      </c>
      <c r="K6" s="10">
        <f>SUMIF(Sales_Data!$D:$D,A4,Sales_Data!$I:$I)</f>
        <v/>
      </c>
      <c r="L6" s="10">
        <f>SUMIF(Sales_Data!$D:$D,A4,Sales_Data!$K:$K)</f>
        <v/>
      </c>
      <c r="M6" s="11">
        <f>IFERROR(L6/K6,0)</f>
        <v/>
      </c>
      <c r="N6">
        <f>G4</f>
        <v/>
      </c>
      <c r="O6">
        <f>IF(N6&lt;=10,"CRITICAL",IF(N6&lt;=20,"LOW","HEALTHY"))</f>
        <v/>
      </c>
      <c r="P6">
        <f>RANK(K6,$K$4:$K$15,0)</f>
        <v/>
      </c>
    </row>
    <row r="7">
      <c r="A7" t="inlineStr">
        <is>
          <t>P006</t>
        </is>
      </c>
      <c r="B7" t="inlineStr">
        <is>
          <t>Nike Dunk Low</t>
        </is>
      </c>
      <c r="C7" t="inlineStr">
        <is>
          <t>Sneakers</t>
        </is>
      </c>
      <c r="D7" t="inlineStr">
        <is>
          <t>Nike</t>
        </is>
      </c>
      <c r="E7" s="14" t="n">
        <v>3900</v>
      </c>
      <c r="F7" s="14" t="n">
        <v>6295</v>
      </c>
      <c r="G7" t="n">
        <v>18</v>
      </c>
      <c r="I7">
        <f>B5</f>
        <v/>
      </c>
      <c r="J7">
        <f>SUMIF(Sales_Data!$D:$D,A5,Sales_Data!$E:$E)</f>
        <v/>
      </c>
      <c r="K7" s="10">
        <f>SUMIF(Sales_Data!$D:$D,A5,Sales_Data!$I:$I)</f>
        <v/>
      </c>
      <c r="L7" s="10">
        <f>SUMIF(Sales_Data!$D:$D,A5,Sales_Data!$K:$K)</f>
        <v/>
      </c>
      <c r="M7" s="11">
        <f>IFERROR(L7/K7,0)</f>
        <v/>
      </c>
      <c r="N7">
        <f>G5</f>
        <v/>
      </c>
      <c r="O7">
        <f>IF(N7&lt;=10,"CRITICAL",IF(N7&lt;=20,"LOW","HEALTHY"))</f>
        <v/>
      </c>
      <c r="P7">
        <f>RANK(K7,$K$4:$K$15,0)</f>
        <v/>
      </c>
    </row>
    <row r="8">
      <c r="A8" t="inlineStr">
        <is>
          <t>P007</t>
        </is>
      </c>
      <c r="B8" t="inlineStr">
        <is>
          <t>Adidas Campus 00s</t>
        </is>
      </c>
      <c r="C8" t="inlineStr">
        <is>
          <t>Sneakers</t>
        </is>
      </c>
      <c r="D8" t="inlineStr">
        <is>
          <t>Adidas</t>
        </is>
      </c>
      <c r="E8" s="14" t="n">
        <v>3300</v>
      </c>
      <c r="F8" s="14" t="n">
        <v>5295</v>
      </c>
      <c r="G8" t="n">
        <v>25</v>
      </c>
      <c r="I8">
        <f>B6</f>
        <v/>
      </c>
      <c r="J8">
        <f>SUMIF(Sales_Data!$D:$D,A6,Sales_Data!$E:$E)</f>
        <v/>
      </c>
      <c r="K8" s="10">
        <f>SUMIF(Sales_Data!$D:$D,A6,Sales_Data!$I:$I)</f>
        <v/>
      </c>
      <c r="L8" s="10">
        <f>SUMIF(Sales_Data!$D:$D,A6,Sales_Data!$K:$K)</f>
        <v/>
      </c>
      <c r="M8" s="11">
        <f>IFERROR(L8/K8,0)</f>
        <v/>
      </c>
      <c r="N8">
        <f>G6</f>
        <v/>
      </c>
      <c r="O8">
        <f>IF(N8&lt;=10,"CRITICAL",IF(N8&lt;=20,"LOW","HEALTHY"))</f>
        <v/>
      </c>
      <c r="P8">
        <f>RANK(K8,$K$4:$K$15,0)</f>
        <v/>
      </c>
    </row>
    <row r="9">
      <c r="A9" t="inlineStr">
        <is>
          <t>P008</t>
        </is>
      </c>
      <c r="B9" t="inlineStr">
        <is>
          <t>Converse Chuck 70</t>
        </is>
      </c>
      <c r="C9" t="inlineStr">
        <is>
          <t>Sneakers</t>
        </is>
      </c>
      <c r="D9" t="inlineStr">
        <is>
          <t>Converse</t>
        </is>
      </c>
      <c r="E9" s="14" t="n">
        <v>2800</v>
      </c>
      <c r="F9" s="14" t="n">
        <v>4595</v>
      </c>
      <c r="G9" t="n">
        <v>33</v>
      </c>
      <c r="I9">
        <f>B7</f>
        <v/>
      </c>
      <c r="J9">
        <f>SUMIF(Sales_Data!$D:$D,A7,Sales_Data!$E:$E)</f>
        <v/>
      </c>
      <c r="K9" s="10">
        <f>SUMIF(Sales_Data!$D:$D,A7,Sales_Data!$I:$I)</f>
        <v/>
      </c>
      <c r="L9" s="10">
        <f>SUMIF(Sales_Data!$D:$D,A7,Sales_Data!$K:$K)</f>
        <v/>
      </c>
      <c r="M9" s="11">
        <f>IFERROR(L9/K9,0)</f>
        <v/>
      </c>
      <c r="N9">
        <f>G7</f>
        <v/>
      </c>
      <c r="O9">
        <f>IF(N9&lt;=10,"CRITICAL",IF(N9&lt;=20,"LOW","HEALTHY"))</f>
        <v/>
      </c>
      <c r="P9">
        <f>RANK(K9,$K$4:$K$15,0)</f>
        <v/>
      </c>
    </row>
    <row r="10">
      <c r="A10" t="inlineStr">
        <is>
          <t>P009</t>
        </is>
      </c>
      <c r="B10" t="inlineStr">
        <is>
          <t>New Balance 550</t>
        </is>
      </c>
      <c r="C10" t="inlineStr">
        <is>
          <t>Sneakers</t>
        </is>
      </c>
      <c r="D10" t="inlineStr">
        <is>
          <t>New Balance</t>
        </is>
      </c>
      <c r="E10" s="14" t="n">
        <v>3600</v>
      </c>
      <c r="F10" s="14" t="n">
        <v>5795</v>
      </c>
      <c r="G10" t="n">
        <v>16</v>
      </c>
      <c r="I10">
        <f>B8</f>
        <v/>
      </c>
      <c r="J10">
        <f>SUMIF(Sales_Data!$D:$D,A8,Sales_Data!$E:$E)</f>
        <v/>
      </c>
      <c r="K10" s="10">
        <f>SUMIF(Sales_Data!$D:$D,A8,Sales_Data!$I:$I)</f>
        <v/>
      </c>
      <c r="L10" s="10">
        <f>SUMIF(Sales_Data!$D:$D,A8,Sales_Data!$K:$K)</f>
        <v/>
      </c>
      <c r="M10" s="11">
        <f>IFERROR(L10/K10,0)</f>
        <v/>
      </c>
      <c r="N10">
        <f>G8</f>
        <v/>
      </c>
      <c r="O10">
        <f>IF(N10&lt;=10,"CRITICAL",IF(N10&lt;=20,"LOW","HEALTHY"))</f>
        <v/>
      </c>
      <c r="P10">
        <f>RANK(K10,$K$4:$K$15,0)</f>
        <v/>
      </c>
    </row>
    <row r="11">
      <c r="A11" t="inlineStr">
        <is>
          <t>P010</t>
        </is>
      </c>
      <c r="B11" t="inlineStr">
        <is>
          <t>Vans Knu Skool</t>
        </is>
      </c>
      <c r="C11" t="inlineStr">
        <is>
          <t>Sneakers</t>
        </is>
      </c>
      <c r="D11" t="inlineStr">
        <is>
          <t>Vans</t>
        </is>
      </c>
      <c r="E11" s="14" t="n">
        <v>2600</v>
      </c>
      <c r="F11" s="14" t="n">
        <v>4495</v>
      </c>
      <c r="G11" t="n">
        <v>20</v>
      </c>
      <c r="I11">
        <f>B9</f>
        <v/>
      </c>
      <c r="J11">
        <f>SUMIF(Sales_Data!$D:$D,A9,Sales_Data!$E:$E)</f>
        <v/>
      </c>
      <c r="K11" s="10">
        <f>SUMIF(Sales_Data!$D:$D,A9,Sales_Data!$I:$I)</f>
        <v/>
      </c>
      <c r="L11" s="10">
        <f>SUMIF(Sales_Data!$D:$D,A9,Sales_Data!$K:$K)</f>
        <v/>
      </c>
      <c r="M11" s="11">
        <f>IFERROR(L11/K11,0)</f>
        <v/>
      </c>
      <c r="N11">
        <f>G9</f>
        <v/>
      </c>
      <c r="O11">
        <f>IF(N11&lt;=10,"CRITICAL",IF(N11&lt;=20,"LOW","HEALTHY"))</f>
        <v/>
      </c>
      <c r="P11">
        <f>RANK(K11,$K$4:$K$15,0)</f>
        <v/>
      </c>
    </row>
    <row r="12">
      <c r="A12" t="inlineStr">
        <is>
          <t>P011</t>
        </is>
      </c>
      <c r="B12" t="inlineStr">
        <is>
          <t>Nike Tech Cap</t>
        </is>
      </c>
      <c r="C12" t="inlineStr">
        <is>
          <t>Accessories</t>
        </is>
      </c>
      <c r="D12" t="inlineStr">
        <is>
          <t>Nike</t>
        </is>
      </c>
      <c r="E12" s="14" t="n">
        <v>850</v>
      </c>
      <c r="F12" s="14" t="n">
        <v>1495</v>
      </c>
      <c r="G12" t="n">
        <v>55</v>
      </c>
      <c r="I12">
        <f>B10</f>
        <v/>
      </c>
      <c r="J12">
        <f>SUMIF(Sales_Data!$D:$D,A10,Sales_Data!$E:$E)</f>
        <v/>
      </c>
      <c r="K12" s="10">
        <f>SUMIF(Sales_Data!$D:$D,A10,Sales_Data!$I:$I)</f>
        <v/>
      </c>
      <c r="L12" s="10">
        <f>SUMIF(Sales_Data!$D:$D,A10,Sales_Data!$K:$K)</f>
        <v/>
      </c>
      <c r="M12" s="11">
        <f>IFERROR(L12/K12,0)</f>
        <v/>
      </c>
      <c r="N12">
        <f>G10</f>
        <v/>
      </c>
      <c r="O12">
        <f>IF(N12&lt;=10,"CRITICAL",IF(N12&lt;=20,"LOW","HEALTHY"))</f>
        <v/>
      </c>
      <c r="P12">
        <f>RANK(K12,$K$4:$K$15,0)</f>
        <v/>
      </c>
    </row>
    <row r="13">
      <c r="A13" t="inlineStr">
        <is>
          <t>P012</t>
        </is>
      </c>
      <c r="B13" t="inlineStr">
        <is>
          <t>Adidas Waist Bag</t>
        </is>
      </c>
      <c r="C13" t="inlineStr">
        <is>
          <t>Accessories</t>
        </is>
      </c>
      <c r="D13" t="inlineStr">
        <is>
          <t>Adidas</t>
        </is>
      </c>
      <c r="E13" s="14" t="n">
        <v>900</v>
      </c>
      <c r="F13" s="14" t="n">
        <v>1595</v>
      </c>
      <c r="G13" t="n">
        <v>42</v>
      </c>
      <c r="I13">
        <f>B11</f>
        <v/>
      </c>
      <c r="J13">
        <f>SUMIF(Sales_Data!$D:$D,A11,Sales_Data!$E:$E)</f>
        <v/>
      </c>
      <c r="K13" s="10">
        <f>SUMIF(Sales_Data!$D:$D,A11,Sales_Data!$I:$I)</f>
        <v/>
      </c>
      <c r="L13" s="10">
        <f>SUMIF(Sales_Data!$D:$D,A11,Sales_Data!$K:$K)</f>
        <v/>
      </c>
      <c r="M13" s="11">
        <f>IFERROR(L13/K13,0)</f>
        <v/>
      </c>
      <c r="N13">
        <f>G11</f>
        <v/>
      </c>
      <c r="O13">
        <f>IF(N13&lt;=10,"CRITICAL",IF(N13&lt;=20,"LOW","HEALTHY"))</f>
        <v/>
      </c>
      <c r="P13">
        <f>RANK(K13,$K$4:$K$15,0)</f>
        <v/>
      </c>
    </row>
    <row r="14">
      <c r="I14">
        <f>B12</f>
        <v/>
      </c>
      <c r="J14">
        <f>SUMIF(Sales_Data!$D:$D,A12,Sales_Data!$E:$E)</f>
        <v/>
      </c>
      <c r="K14" s="10">
        <f>SUMIF(Sales_Data!$D:$D,A12,Sales_Data!$I:$I)</f>
        <v/>
      </c>
      <c r="L14" s="10">
        <f>SUMIF(Sales_Data!$D:$D,A12,Sales_Data!$K:$K)</f>
        <v/>
      </c>
      <c r="M14" s="11">
        <f>IFERROR(L14/K14,0)</f>
        <v/>
      </c>
      <c r="N14">
        <f>G12</f>
        <v/>
      </c>
      <c r="O14">
        <f>IF(N14&lt;=10,"CRITICAL",IF(N14&lt;=20,"LOW","HEALTHY"))</f>
        <v/>
      </c>
      <c r="P14">
        <f>RANK(K14,$K$4:$K$15,0)</f>
        <v/>
      </c>
    </row>
    <row r="15">
      <c r="I15">
        <f>B13</f>
        <v/>
      </c>
      <c r="J15">
        <f>SUMIF(Sales_Data!$D:$D,A13,Sales_Data!$E:$E)</f>
        <v/>
      </c>
      <c r="K15" s="10">
        <f>SUMIF(Sales_Data!$D:$D,A13,Sales_Data!$I:$I)</f>
        <v/>
      </c>
      <c r="L15" s="10">
        <f>SUMIF(Sales_Data!$D:$D,A13,Sales_Data!$K:$K)</f>
        <v/>
      </c>
      <c r="M15" s="11">
        <f>IFERROR(L15/K15,0)</f>
        <v/>
      </c>
      <c r="N15">
        <f>G13</f>
        <v/>
      </c>
      <c r="O15">
        <f>IF(N15&lt;=10,"CRITICAL",IF(N15&lt;=20,"LOW","HEALTHY"))</f>
        <v/>
      </c>
      <c r="P15">
        <f>RANK(K15,$K$4:$K$15,0)</f>
        <v/>
      </c>
    </row>
  </sheetData>
  <autoFilter ref="A1:G13"/>
  <conditionalFormatting sqref="M4:M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</cols>
  <sheetData>
    <row r="1">
      <c r="A1" s="12" t="inlineStr">
        <is>
          <t>Customer_ID</t>
        </is>
      </c>
      <c r="B1" s="12" t="inlineStr">
        <is>
          <t>Customer_Name</t>
        </is>
      </c>
      <c r="C1" s="12" t="inlineStr">
        <is>
          <t>City</t>
        </is>
      </c>
    </row>
    <row r="2">
      <c r="A2" t="inlineStr">
        <is>
          <t>C001</t>
        </is>
      </c>
      <c r="B2" t="inlineStr">
        <is>
          <t>Customer 01</t>
        </is>
      </c>
      <c r="C2" t="inlineStr">
        <is>
          <t>Manila</t>
        </is>
      </c>
    </row>
    <row r="3">
      <c r="A3" t="inlineStr">
        <is>
          <t>C002</t>
        </is>
      </c>
      <c r="B3" t="inlineStr">
        <is>
          <t>Customer 02</t>
        </is>
      </c>
      <c r="C3" t="inlineStr">
        <is>
          <t>Quezon City</t>
        </is>
      </c>
    </row>
    <row r="4">
      <c r="A4" t="inlineStr">
        <is>
          <t>C003</t>
        </is>
      </c>
      <c r="B4" t="inlineStr">
        <is>
          <t>Customer 03</t>
        </is>
      </c>
      <c r="C4" t="inlineStr">
        <is>
          <t>Caloocan</t>
        </is>
      </c>
    </row>
    <row r="5">
      <c r="A5" t="inlineStr">
        <is>
          <t>C004</t>
        </is>
      </c>
      <c r="B5" t="inlineStr">
        <is>
          <t>Customer 04</t>
        </is>
      </c>
      <c r="C5" t="inlineStr">
        <is>
          <t>Makati</t>
        </is>
      </c>
    </row>
    <row r="6">
      <c r="A6" t="inlineStr">
        <is>
          <t>C005</t>
        </is>
      </c>
      <c r="B6" t="inlineStr">
        <is>
          <t>Customer 05</t>
        </is>
      </c>
      <c r="C6" t="inlineStr">
        <is>
          <t>Makati</t>
        </is>
      </c>
    </row>
    <row r="7">
      <c r="A7" t="inlineStr">
        <is>
          <t>C006</t>
        </is>
      </c>
      <c r="B7" t="inlineStr">
        <is>
          <t>Customer 06</t>
        </is>
      </c>
      <c r="C7" t="inlineStr">
        <is>
          <t>Pasig</t>
        </is>
      </c>
    </row>
    <row r="8">
      <c r="A8" t="inlineStr">
        <is>
          <t>C007</t>
        </is>
      </c>
      <c r="B8" t="inlineStr">
        <is>
          <t>Customer 07</t>
        </is>
      </c>
      <c r="C8" t="inlineStr">
        <is>
          <t>Manila</t>
        </is>
      </c>
    </row>
    <row r="9">
      <c r="A9" t="inlineStr">
        <is>
          <t>C008</t>
        </is>
      </c>
      <c r="B9" t="inlineStr">
        <is>
          <t>Customer 08</t>
        </is>
      </c>
      <c r="C9" t="inlineStr">
        <is>
          <t>Manila</t>
        </is>
      </c>
    </row>
    <row r="10">
      <c r="A10" t="inlineStr">
        <is>
          <t>C009</t>
        </is>
      </c>
      <c r="B10" t="inlineStr">
        <is>
          <t>Customer 09</t>
        </is>
      </c>
      <c r="C10" t="inlineStr">
        <is>
          <t>Cebu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Quezon City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Quezon City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Manila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Makati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Makati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Quezon City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Makati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Cebu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Makati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Davao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Caloocan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Quezon City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Pasig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Cebu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Taguig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Caloocan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Pasig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Makati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Taguig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Manila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Manila</t>
        </is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4" customWidth="1" min="4" max="4"/>
    <col width="21" customWidth="1" min="5" max="5"/>
    <col width="24" customWidth="1" min="6" max="6"/>
    <col width="24" customWidth="1" min="7" max="7"/>
    <col width="21" customWidth="1" min="8" max="8"/>
  </cols>
  <sheetData>
    <row r="1">
      <c r="A1" s="12" t="inlineStr">
        <is>
          <t>Month</t>
        </is>
      </c>
      <c r="B1" s="12" t="inlineStr">
        <is>
          <t>Revenue</t>
        </is>
      </c>
      <c r="C1" s="12" t="inlineStr">
        <is>
          <t>COGS</t>
        </is>
      </c>
      <c r="D1" s="12" t="inlineStr">
        <is>
          <t>Gross Profit</t>
        </is>
      </c>
      <c r="E1" s="12" t="inlineStr">
        <is>
          <t>Margin %</t>
        </is>
      </c>
      <c r="F1" s="12" t="inlineStr">
        <is>
          <t>Orders</t>
        </is>
      </c>
      <c r="G1" s="12" t="inlineStr">
        <is>
          <t>Units Sold</t>
        </is>
      </c>
      <c r="H1" s="12" t="inlineStr">
        <is>
          <t>Avg Order Value</t>
        </is>
      </c>
    </row>
    <row r="2">
      <c r="A2" s="15" t="n">
        <v>46023</v>
      </c>
      <c r="B2" s="10">
        <f>SUMIFS(Sales_Data!$I:$I,Sales_Data!$B:$B,"&gt;="&amp;A2,Sales_Data!$B:$B,"&lt;"&amp;DATE(YEAR(A2),MONTH(A2)+1,1),Sales_Data!$M:$M,"Completed")</f>
        <v/>
      </c>
      <c r="C2" s="10">
        <f>SUMIFS(Sales_Data!$J:$J,Sales_Data!$B:$B,"&gt;="&amp;A2,Sales_Data!$B:$B,"&lt;"&amp;DATE(YEAR(A2),MONTH(A2)+1,1),Sales_Data!$M:$M,"Completed")</f>
        <v/>
      </c>
      <c r="D2" s="10">
        <f>B2-C2</f>
        <v/>
      </c>
      <c r="E2" s="11">
        <f>IFERROR(D2/B2,0)</f>
        <v/>
      </c>
      <c r="F2">
        <f>COUNTIFS(Sales_Data!$B:$B,"&gt;="&amp;A2,Sales_Data!$B:$B,"&lt;"&amp;DATE(YEAR(A2),MONTH(A2)+1,1),Sales_Data!$M:$M,"Completed")</f>
        <v/>
      </c>
      <c r="G2">
        <f>SUMIFS(Sales_Data!$E:$E,Sales_Data!$B:$B,"&gt;="&amp;A2,Sales_Data!$B:$B,"&lt;"&amp;DATE(YEAR(A2),MONTH(A2)+1,1),Sales_Data!$M:$M,"Completed")</f>
        <v/>
      </c>
      <c r="H2" s="10">
        <f>IFERROR(B2/F2,0)</f>
        <v/>
      </c>
    </row>
    <row r="3">
      <c r="A3" s="15" t="n">
        <v>46054</v>
      </c>
      <c r="B3" s="10">
        <f>SUMIFS(Sales_Data!$I:$I,Sales_Data!$B:$B,"&gt;="&amp;A3,Sales_Data!$B:$B,"&lt;"&amp;DATE(YEAR(A3),MONTH(A3)+1,1),Sales_Data!$M:$M,"Completed")</f>
        <v/>
      </c>
      <c r="C3" s="10">
        <f>SUMIFS(Sales_Data!$J:$J,Sales_Data!$B:$B,"&gt;="&amp;A3,Sales_Data!$B:$B,"&lt;"&amp;DATE(YEAR(A3),MONTH(A3)+1,1),Sales_Data!$M:$M,"Completed")</f>
        <v/>
      </c>
      <c r="D3" s="10">
        <f>B3-C3</f>
        <v/>
      </c>
      <c r="E3" s="11">
        <f>IFERROR(D3/B3,0)</f>
        <v/>
      </c>
      <c r="F3">
        <f>COUNTIFS(Sales_Data!$B:$B,"&gt;="&amp;A3,Sales_Data!$B:$B,"&lt;"&amp;DATE(YEAR(A3),MONTH(A3)+1,1),Sales_Data!$M:$M,"Completed")</f>
        <v/>
      </c>
      <c r="G3">
        <f>SUMIFS(Sales_Data!$E:$E,Sales_Data!$B:$B,"&gt;="&amp;A3,Sales_Data!$B:$B,"&lt;"&amp;DATE(YEAR(A3),MONTH(A3)+1,1),Sales_Data!$M:$M,"Completed")</f>
        <v/>
      </c>
      <c r="H3" s="10">
        <f>IFERROR(B3/F3,0)</f>
        <v/>
      </c>
    </row>
    <row r="4">
      <c r="A4" s="15" t="n">
        <v>46082</v>
      </c>
      <c r="B4" s="10">
        <f>SUMIFS(Sales_Data!$I:$I,Sales_Data!$B:$B,"&gt;="&amp;A4,Sales_Data!$B:$B,"&lt;"&amp;DATE(YEAR(A4),MONTH(A4)+1,1),Sales_Data!$M:$M,"Completed")</f>
        <v/>
      </c>
      <c r="C4" s="10">
        <f>SUMIFS(Sales_Data!$J:$J,Sales_Data!$B:$B,"&gt;="&amp;A4,Sales_Data!$B:$B,"&lt;"&amp;DATE(YEAR(A4),MONTH(A4)+1,1),Sales_Data!$M:$M,"Completed")</f>
        <v/>
      </c>
      <c r="D4" s="10">
        <f>B4-C4</f>
        <v/>
      </c>
      <c r="E4" s="11">
        <f>IFERROR(D4/B4,0)</f>
        <v/>
      </c>
      <c r="F4">
        <f>COUNTIFS(Sales_Data!$B:$B,"&gt;="&amp;A4,Sales_Data!$B:$B,"&lt;"&amp;DATE(YEAR(A4),MONTH(A4)+1,1),Sales_Data!$M:$M,"Completed")</f>
        <v/>
      </c>
      <c r="G4">
        <f>SUMIFS(Sales_Data!$E:$E,Sales_Data!$B:$B,"&gt;="&amp;A4,Sales_Data!$B:$B,"&lt;"&amp;DATE(YEAR(A4),MONTH(A4)+1,1),Sales_Data!$M:$M,"Completed")</f>
        <v/>
      </c>
      <c r="H4" s="10">
        <f>IFERROR(B4/F4,0)</f>
        <v/>
      </c>
    </row>
    <row r="5">
      <c r="A5" s="15" t="n">
        <v>46113</v>
      </c>
      <c r="B5" s="10">
        <f>SUMIFS(Sales_Data!$I:$I,Sales_Data!$B:$B,"&gt;="&amp;A5,Sales_Data!$B:$B,"&lt;"&amp;DATE(YEAR(A5),MONTH(A5)+1,1),Sales_Data!$M:$M,"Completed")</f>
        <v/>
      </c>
      <c r="C5" s="10">
        <f>SUMIFS(Sales_Data!$J:$J,Sales_Data!$B:$B,"&gt;="&amp;A5,Sales_Data!$B:$B,"&lt;"&amp;DATE(YEAR(A5),MONTH(A5)+1,1),Sales_Data!$M:$M,"Completed")</f>
        <v/>
      </c>
      <c r="D5" s="10">
        <f>B5-C5</f>
        <v/>
      </c>
      <c r="E5" s="11">
        <f>IFERROR(D5/B5,0)</f>
        <v/>
      </c>
      <c r="F5">
        <f>COUNTIFS(Sales_Data!$B:$B,"&gt;="&amp;A5,Sales_Data!$B:$B,"&lt;"&amp;DATE(YEAR(A5),MONTH(A5)+1,1),Sales_Data!$M:$M,"Completed")</f>
        <v/>
      </c>
      <c r="G5">
        <f>SUMIFS(Sales_Data!$E:$E,Sales_Data!$B:$B,"&gt;="&amp;A5,Sales_Data!$B:$B,"&lt;"&amp;DATE(YEAR(A5),MONTH(A5)+1,1),Sales_Data!$M:$M,"Completed")</f>
        <v/>
      </c>
      <c r="H5" s="10">
        <f>IFERROR(B5/F5,0)</f>
        <v/>
      </c>
    </row>
    <row r="6">
      <c r="A6" s="15" t="n">
        <v>46143</v>
      </c>
      <c r="B6" s="10">
        <f>SUMIFS(Sales_Data!$I:$I,Sales_Data!$B:$B,"&gt;="&amp;A6,Sales_Data!$B:$B,"&lt;"&amp;DATE(YEAR(A6),MONTH(A6)+1,1),Sales_Data!$M:$M,"Completed")</f>
        <v/>
      </c>
      <c r="C6" s="10">
        <f>SUMIFS(Sales_Data!$J:$J,Sales_Data!$B:$B,"&gt;="&amp;A6,Sales_Data!$B:$B,"&lt;"&amp;DATE(YEAR(A6),MONTH(A6)+1,1),Sales_Data!$M:$M,"Completed")</f>
        <v/>
      </c>
      <c r="D6" s="10">
        <f>B6-C6</f>
        <v/>
      </c>
      <c r="E6" s="11">
        <f>IFERROR(D6/B6,0)</f>
        <v/>
      </c>
      <c r="F6">
        <f>COUNTIFS(Sales_Data!$B:$B,"&gt;="&amp;A6,Sales_Data!$B:$B,"&lt;"&amp;DATE(YEAR(A6),MONTH(A6)+1,1),Sales_Data!$M:$M,"Completed")</f>
        <v/>
      </c>
      <c r="G6">
        <f>SUMIFS(Sales_Data!$E:$E,Sales_Data!$B:$B,"&gt;="&amp;A6,Sales_Data!$B:$B,"&lt;"&amp;DATE(YEAR(A6),MONTH(A6)+1,1),Sales_Data!$M:$M,"Completed")</f>
        <v/>
      </c>
      <c r="H6" s="10">
        <f>IFERROR(B6/F6,0)</f>
        <v/>
      </c>
    </row>
    <row r="7">
      <c r="A7" s="15" t="n">
        <v>46174</v>
      </c>
      <c r="B7" s="10">
        <f>SUMIFS(Sales_Data!$I:$I,Sales_Data!$B:$B,"&gt;="&amp;A7,Sales_Data!$B:$B,"&lt;"&amp;DATE(YEAR(A7),MONTH(A7)+1,1),Sales_Data!$M:$M,"Completed")</f>
        <v/>
      </c>
      <c r="C7" s="10">
        <f>SUMIFS(Sales_Data!$J:$J,Sales_Data!$B:$B,"&gt;="&amp;A7,Sales_Data!$B:$B,"&lt;"&amp;DATE(YEAR(A7),MONTH(A7)+1,1),Sales_Data!$M:$M,"Completed")</f>
        <v/>
      </c>
      <c r="D7" s="10">
        <f>B7-C7</f>
        <v/>
      </c>
      <c r="E7" s="11">
        <f>IFERROR(D7/B7,0)</f>
        <v/>
      </c>
      <c r="F7">
        <f>COUNTIFS(Sales_Data!$B:$B,"&gt;="&amp;A7,Sales_Data!$B:$B,"&lt;"&amp;DATE(YEAR(A7),MONTH(A7)+1,1),Sales_Data!$M:$M,"Completed")</f>
        <v/>
      </c>
      <c r="G7">
        <f>SUMIFS(Sales_Data!$E:$E,Sales_Data!$B:$B,"&gt;="&amp;A7,Sales_Data!$B:$B,"&lt;"&amp;DATE(YEAR(A7),MONTH(A7)+1,1),Sales_Data!$M:$M,"Completed")</f>
        <v/>
      </c>
      <c r="H7" s="10">
        <f>IFERROR(B7/F7,0)</f>
        <v/>
      </c>
    </row>
    <row r="8">
      <c r="A8" s="15" t="n">
        <v>46204</v>
      </c>
      <c r="B8" s="10">
        <f>SUMIFS(Sales_Data!$I:$I,Sales_Data!$B:$B,"&gt;="&amp;A8,Sales_Data!$B:$B,"&lt;"&amp;DATE(YEAR(A8),MONTH(A8)+1,1),Sales_Data!$M:$M,"Completed")</f>
        <v/>
      </c>
      <c r="C8" s="10">
        <f>SUMIFS(Sales_Data!$J:$J,Sales_Data!$B:$B,"&gt;="&amp;A8,Sales_Data!$B:$B,"&lt;"&amp;DATE(YEAR(A8),MONTH(A8)+1,1),Sales_Data!$M:$M,"Completed")</f>
        <v/>
      </c>
      <c r="D8" s="10">
        <f>B8-C8</f>
        <v/>
      </c>
      <c r="E8" s="11">
        <f>IFERROR(D8/B8,0)</f>
        <v/>
      </c>
      <c r="F8">
        <f>COUNTIFS(Sales_Data!$B:$B,"&gt;="&amp;A8,Sales_Data!$B:$B,"&lt;"&amp;DATE(YEAR(A8),MONTH(A8)+1,1),Sales_Data!$M:$M,"Completed")</f>
        <v/>
      </c>
      <c r="G8">
        <f>SUMIFS(Sales_Data!$E:$E,Sales_Data!$B:$B,"&gt;="&amp;A8,Sales_Data!$B:$B,"&lt;"&amp;DATE(YEAR(A8),MONTH(A8)+1,1),Sales_Data!$M:$M,"Completed")</f>
        <v/>
      </c>
      <c r="H8" s="10">
        <f>IFERROR(B8/F8,0)</f>
        <v/>
      </c>
    </row>
    <row r="9">
      <c r="A9" s="15" t="n">
        <v>46235</v>
      </c>
      <c r="B9" s="10">
        <f>SUMIFS(Sales_Data!$I:$I,Sales_Data!$B:$B,"&gt;="&amp;A9,Sales_Data!$B:$B,"&lt;"&amp;DATE(YEAR(A9),MONTH(A9)+1,1),Sales_Data!$M:$M,"Completed")</f>
        <v/>
      </c>
      <c r="C9" s="10">
        <f>SUMIFS(Sales_Data!$J:$J,Sales_Data!$B:$B,"&gt;="&amp;A9,Sales_Data!$B:$B,"&lt;"&amp;DATE(YEAR(A9),MONTH(A9)+1,1),Sales_Data!$M:$M,"Completed")</f>
        <v/>
      </c>
      <c r="D9" s="10">
        <f>B9-C9</f>
        <v/>
      </c>
      <c r="E9" s="11">
        <f>IFERROR(D9/B9,0)</f>
        <v/>
      </c>
      <c r="F9">
        <f>COUNTIFS(Sales_Data!$B:$B,"&gt;="&amp;A9,Sales_Data!$B:$B,"&lt;"&amp;DATE(YEAR(A9),MONTH(A9)+1,1),Sales_Data!$M:$M,"Completed")</f>
        <v/>
      </c>
      <c r="G9">
        <f>SUMIFS(Sales_Data!$E:$E,Sales_Data!$B:$B,"&gt;="&amp;A9,Sales_Data!$B:$B,"&lt;"&amp;DATE(YEAR(A9),MONTH(A9)+1,1),Sales_Data!$M:$M,"Completed")</f>
        <v/>
      </c>
      <c r="H9" s="10">
        <f>IFERROR(B9/F9,0)</f>
        <v/>
      </c>
    </row>
    <row r="10">
      <c r="A10" s="15" t="n">
        <v>46266</v>
      </c>
      <c r="B10" s="10">
        <f>SUMIFS(Sales_Data!$I:$I,Sales_Data!$B:$B,"&gt;="&amp;A10,Sales_Data!$B:$B,"&lt;"&amp;DATE(YEAR(A10),MONTH(A10)+1,1),Sales_Data!$M:$M,"Completed")</f>
        <v/>
      </c>
      <c r="C10" s="10">
        <f>SUMIFS(Sales_Data!$J:$J,Sales_Data!$B:$B,"&gt;="&amp;A10,Sales_Data!$B:$B,"&lt;"&amp;DATE(YEAR(A10),MONTH(A10)+1,1),Sales_Data!$M:$M,"Completed")</f>
        <v/>
      </c>
      <c r="D10" s="10">
        <f>B10-C10</f>
        <v/>
      </c>
      <c r="E10" s="11">
        <f>IFERROR(D10/B10,0)</f>
        <v/>
      </c>
      <c r="F10">
        <f>COUNTIFS(Sales_Data!$B:$B,"&gt;="&amp;A10,Sales_Data!$B:$B,"&lt;"&amp;DATE(YEAR(A10),MONTH(A10)+1,1),Sales_Data!$M:$M,"Completed")</f>
        <v/>
      </c>
      <c r="G10">
        <f>SUMIFS(Sales_Data!$E:$E,Sales_Data!$B:$B,"&gt;="&amp;A10,Sales_Data!$B:$B,"&lt;"&amp;DATE(YEAR(A10),MONTH(A10)+1,1),Sales_Data!$M:$M,"Completed")</f>
        <v/>
      </c>
      <c r="H10" s="10">
        <f>IFERROR(B10/F10,0)</f>
        <v/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5" customWidth="1" min="4" max="4"/>
    <col width="12" customWidth="1" min="5" max="5"/>
    <col width="13" customWidth="1" min="6" max="6"/>
    <col width="24" customWidth="1" min="7" max="7"/>
    <col width="19" customWidth="1" min="8" max="8"/>
    <col width="21" customWidth="1" min="9" max="9"/>
    <col width="24" customWidth="1" min="10" max="10"/>
  </cols>
  <sheetData>
    <row r="1">
      <c r="A1" s="12" t="inlineStr">
        <is>
          <t>Product_ID</t>
        </is>
      </c>
      <c r="B1" s="12" t="inlineStr">
        <is>
          <t>Product_Name</t>
        </is>
      </c>
      <c r="C1" s="12" t="inlineStr">
        <is>
          <t>Category</t>
        </is>
      </c>
      <c r="D1" s="12" t="inlineStr">
        <is>
          <t>Current_Stock</t>
        </is>
      </c>
      <c r="E1" s="12" t="inlineStr">
        <is>
          <t>Unit_Cost</t>
        </is>
      </c>
      <c r="F1" s="12" t="inlineStr">
        <is>
          <t>Stock Value</t>
        </is>
      </c>
      <c r="G1" s="12" t="inlineStr">
        <is>
          <t>Units Sold</t>
        </is>
      </c>
      <c r="H1" s="12" t="inlineStr">
        <is>
          <t>Avg Monthly Sales</t>
        </is>
      </c>
      <c r="I1" s="12" t="inlineStr">
        <is>
          <t>Est. Months Cover</t>
        </is>
      </c>
      <c r="J1" s="12" t="inlineStr">
        <is>
          <t>Risk</t>
        </is>
      </c>
    </row>
    <row r="2">
      <c r="A2" t="inlineStr">
        <is>
          <t>P001</t>
        </is>
      </c>
      <c r="B2" t="inlineStr">
        <is>
          <t>Nike Air Force 1</t>
        </is>
      </c>
      <c r="C2" t="inlineStr">
        <is>
          <t>Sneakers</t>
        </is>
      </c>
      <c r="D2" t="n">
        <v>35</v>
      </c>
      <c r="E2" s="10" t="n">
        <v>3200</v>
      </c>
      <c r="F2" s="10">
        <f>D2*E2</f>
        <v/>
      </c>
      <c r="G2">
        <f>SUMIF(Sales_Data!$D:$D,A2,Sales_Data!$E:$E)</f>
        <v/>
      </c>
      <c r="H2" s="16">
        <f>G2/9</f>
        <v/>
      </c>
      <c r="I2" s="16">
        <f>IFERROR(D2/H2,0)</f>
        <v/>
      </c>
      <c r="J2">
        <f>IF(D2&lt;=10,"REORDER NOW",IF(I2&lt;1,"REORDER","OK"))</f>
        <v/>
      </c>
    </row>
    <row r="3">
      <c r="A3" t="inlineStr">
        <is>
          <t>P002</t>
        </is>
      </c>
      <c r="B3" t="inlineStr">
        <is>
          <t>Adidas Samba OG</t>
        </is>
      </c>
      <c r="C3" t="inlineStr">
        <is>
          <t>Sneakers</t>
        </is>
      </c>
      <c r="D3" t="n">
        <v>28</v>
      </c>
      <c r="E3" s="10" t="n">
        <v>3500</v>
      </c>
      <c r="F3" s="10">
        <f>D3*E3</f>
        <v/>
      </c>
      <c r="G3">
        <f>SUMIF(Sales_Data!$D:$D,A3,Sales_Data!$E:$E)</f>
        <v/>
      </c>
      <c r="H3" s="16">
        <f>G3/9</f>
        <v/>
      </c>
      <c r="I3" s="16">
        <f>IFERROR(D3/H3,0)</f>
        <v/>
      </c>
      <c r="J3">
        <f>IF(D3&lt;=10,"REORDER NOW",IF(I3&lt;1,"REORDER","OK"))</f>
        <v/>
      </c>
    </row>
    <row r="4">
      <c r="A4" t="inlineStr">
        <is>
          <t>P003</t>
        </is>
      </c>
      <c r="B4" t="inlineStr">
        <is>
          <t>New Balance 530</t>
        </is>
      </c>
      <c r="C4" t="inlineStr">
        <is>
          <t>Sneakers</t>
        </is>
      </c>
      <c r="D4" t="n">
        <v>22</v>
      </c>
      <c r="E4" s="10" t="n">
        <v>3800</v>
      </c>
      <c r="F4" s="10">
        <f>D4*E4</f>
        <v/>
      </c>
      <c r="G4">
        <f>SUMIF(Sales_Data!$D:$D,A4,Sales_Data!$E:$E)</f>
        <v/>
      </c>
      <c r="H4" s="16">
        <f>G4/9</f>
        <v/>
      </c>
      <c r="I4" s="16">
        <f>IFERROR(D4/H4,0)</f>
        <v/>
      </c>
      <c r="J4">
        <f>IF(D4&lt;=10,"REORDER NOW",IF(I4&lt;1,"REORDER","OK"))</f>
        <v/>
      </c>
    </row>
    <row r="5">
      <c r="A5" t="inlineStr">
        <is>
          <t>P004</t>
        </is>
      </c>
      <c r="B5" t="inlineStr">
        <is>
          <t>Vans Old Skool</t>
        </is>
      </c>
      <c r="C5" t="inlineStr">
        <is>
          <t>Sneakers</t>
        </is>
      </c>
      <c r="D5" t="n">
        <v>40</v>
      </c>
      <c r="E5" s="10" t="n">
        <v>2200</v>
      </c>
      <c r="F5" s="10">
        <f>D5*E5</f>
        <v/>
      </c>
      <c r="G5">
        <f>SUMIF(Sales_Data!$D:$D,A5,Sales_Data!$E:$E)</f>
        <v/>
      </c>
      <c r="H5" s="16">
        <f>G5/9</f>
        <v/>
      </c>
      <c r="I5" s="16">
        <f>IFERROR(D5/H5,0)</f>
        <v/>
      </c>
      <c r="J5">
        <f>IF(D5&lt;=10,"REORDER NOW",IF(I5&lt;1,"REORDER","OK"))</f>
        <v/>
      </c>
    </row>
    <row r="6">
      <c r="A6" t="inlineStr">
        <is>
          <t>P005</t>
        </is>
      </c>
      <c r="B6" t="inlineStr">
        <is>
          <t>Puma Suede Classic</t>
        </is>
      </c>
      <c r="C6" t="inlineStr">
        <is>
          <t>Sneakers</t>
        </is>
      </c>
      <c r="D6" t="n">
        <v>31</v>
      </c>
      <c r="E6" s="10" t="n">
        <v>2100</v>
      </c>
      <c r="F6" s="10">
        <f>D6*E6</f>
        <v/>
      </c>
      <c r="G6">
        <f>SUMIF(Sales_Data!$D:$D,A6,Sales_Data!$E:$E)</f>
        <v/>
      </c>
      <c r="H6" s="16">
        <f>G6/9</f>
        <v/>
      </c>
      <c r="I6" s="16">
        <f>IFERROR(D6/H6,0)</f>
        <v/>
      </c>
      <c r="J6">
        <f>IF(D6&lt;=10,"REORDER NOW",IF(I6&lt;1,"REORDER","OK"))</f>
        <v/>
      </c>
    </row>
    <row r="7">
      <c r="A7" t="inlineStr">
        <is>
          <t>P006</t>
        </is>
      </c>
      <c r="B7" t="inlineStr">
        <is>
          <t>Nike Dunk Low</t>
        </is>
      </c>
      <c r="C7" t="inlineStr">
        <is>
          <t>Sneakers</t>
        </is>
      </c>
      <c r="D7" t="n">
        <v>18</v>
      </c>
      <c r="E7" s="10" t="n">
        <v>3900</v>
      </c>
      <c r="F7" s="10">
        <f>D7*E7</f>
        <v/>
      </c>
      <c r="G7">
        <f>SUMIF(Sales_Data!$D:$D,A7,Sales_Data!$E:$E)</f>
        <v/>
      </c>
      <c r="H7" s="16">
        <f>G7/9</f>
        <v/>
      </c>
      <c r="I7" s="16">
        <f>IFERROR(D7/H7,0)</f>
        <v/>
      </c>
      <c r="J7">
        <f>IF(D7&lt;=10,"REORDER NOW",IF(I7&lt;1,"REORDER","OK"))</f>
        <v/>
      </c>
    </row>
    <row r="8">
      <c r="A8" t="inlineStr">
        <is>
          <t>P007</t>
        </is>
      </c>
      <c r="B8" t="inlineStr">
        <is>
          <t>Adidas Campus 00s</t>
        </is>
      </c>
      <c r="C8" t="inlineStr">
        <is>
          <t>Sneakers</t>
        </is>
      </c>
      <c r="D8" t="n">
        <v>25</v>
      </c>
      <c r="E8" s="10" t="n">
        <v>3300</v>
      </c>
      <c r="F8" s="10">
        <f>D8*E8</f>
        <v/>
      </c>
      <c r="G8">
        <f>SUMIF(Sales_Data!$D:$D,A8,Sales_Data!$E:$E)</f>
        <v/>
      </c>
      <c r="H8" s="16">
        <f>G8/9</f>
        <v/>
      </c>
      <c r="I8" s="16">
        <f>IFERROR(D8/H8,0)</f>
        <v/>
      </c>
      <c r="J8">
        <f>IF(D8&lt;=10,"REORDER NOW",IF(I8&lt;1,"REORDER","OK"))</f>
        <v/>
      </c>
    </row>
    <row r="9">
      <c r="A9" t="inlineStr">
        <is>
          <t>P008</t>
        </is>
      </c>
      <c r="B9" t="inlineStr">
        <is>
          <t>Converse Chuck 70</t>
        </is>
      </c>
      <c r="C9" t="inlineStr">
        <is>
          <t>Sneakers</t>
        </is>
      </c>
      <c r="D9" t="n">
        <v>33</v>
      </c>
      <c r="E9" s="10" t="n">
        <v>2800</v>
      </c>
      <c r="F9" s="10">
        <f>D9*E9</f>
        <v/>
      </c>
      <c r="G9">
        <f>SUMIF(Sales_Data!$D:$D,A9,Sales_Data!$E:$E)</f>
        <v/>
      </c>
      <c r="H9" s="16">
        <f>G9/9</f>
        <v/>
      </c>
      <c r="I9" s="16">
        <f>IFERROR(D9/H9,0)</f>
        <v/>
      </c>
      <c r="J9">
        <f>IF(D9&lt;=10,"REORDER NOW",IF(I9&lt;1,"REORDER","OK"))</f>
        <v/>
      </c>
    </row>
    <row r="10">
      <c r="A10" t="inlineStr">
        <is>
          <t>P009</t>
        </is>
      </c>
      <c r="B10" t="inlineStr">
        <is>
          <t>New Balance 550</t>
        </is>
      </c>
      <c r="C10" t="inlineStr">
        <is>
          <t>Sneakers</t>
        </is>
      </c>
      <c r="D10" t="n">
        <v>16</v>
      </c>
      <c r="E10" s="10" t="n">
        <v>3600</v>
      </c>
      <c r="F10" s="10">
        <f>D10*E10</f>
        <v/>
      </c>
      <c r="G10">
        <f>SUMIF(Sales_Data!$D:$D,A10,Sales_Data!$E:$E)</f>
        <v/>
      </c>
      <c r="H10" s="16">
        <f>G10/9</f>
        <v/>
      </c>
      <c r="I10" s="16">
        <f>IFERROR(D10/H10,0)</f>
        <v/>
      </c>
      <c r="J10">
        <f>IF(D10&lt;=10,"REORDER NOW",IF(I10&lt;1,"REORDER","OK"))</f>
        <v/>
      </c>
    </row>
    <row r="11">
      <c r="A11" t="inlineStr">
        <is>
          <t>P010</t>
        </is>
      </c>
      <c r="B11" t="inlineStr">
        <is>
          <t>Vans Knu Skool</t>
        </is>
      </c>
      <c r="C11" t="inlineStr">
        <is>
          <t>Sneakers</t>
        </is>
      </c>
      <c r="D11" t="n">
        <v>20</v>
      </c>
      <c r="E11" s="10" t="n">
        <v>2600</v>
      </c>
      <c r="F11" s="10">
        <f>D11*E11</f>
        <v/>
      </c>
      <c r="G11">
        <f>SUMIF(Sales_Data!$D:$D,A11,Sales_Data!$E:$E)</f>
        <v/>
      </c>
      <c r="H11" s="16">
        <f>G11/9</f>
        <v/>
      </c>
      <c r="I11" s="16">
        <f>IFERROR(D11/H11,0)</f>
        <v/>
      </c>
      <c r="J11">
        <f>IF(D11&lt;=10,"REORDER NOW",IF(I11&lt;1,"REORDER","OK"))</f>
        <v/>
      </c>
    </row>
    <row r="12">
      <c r="A12" t="inlineStr">
        <is>
          <t>P011</t>
        </is>
      </c>
      <c r="B12" t="inlineStr">
        <is>
          <t>Nike Tech Cap</t>
        </is>
      </c>
      <c r="C12" t="inlineStr">
        <is>
          <t>Accessories</t>
        </is>
      </c>
      <c r="D12" t="n">
        <v>55</v>
      </c>
      <c r="E12" s="10" t="n">
        <v>850</v>
      </c>
      <c r="F12" s="10">
        <f>D12*E12</f>
        <v/>
      </c>
      <c r="G12">
        <f>SUMIF(Sales_Data!$D:$D,A12,Sales_Data!$E:$E)</f>
        <v/>
      </c>
      <c r="H12" s="16">
        <f>G12/9</f>
        <v/>
      </c>
      <c r="I12" s="16">
        <f>IFERROR(D12/H12,0)</f>
        <v/>
      </c>
      <c r="J12">
        <f>IF(D12&lt;=10,"REORDER NOW",IF(I12&lt;1,"REORDER","OK"))</f>
        <v/>
      </c>
    </row>
    <row r="13">
      <c r="A13" t="inlineStr">
        <is>
          <t>P012</t>
        </is>
      </c>
      <c r="B13" t="inlineStr">
        <is>
          <t>Adidas Waist Bag</t>
        </is>
      </c>
      <c r="C13" t="inlineStr">
        <is>
          <t>Accessories</t>
        </is>
      </c>
      <c r="D13" t="n">
        <v>42</v>
      </c>
      <c r="E13" s="10" t="n">
        <v>900</v>
      </c>
      <c r="F13" s="10">
        <f>D13*E13</f>
        <v/>
      </c>
      <c r="G13">
        <f>SUMIF(Sales_Data!$D:$D,A13,Sales_Data!$E:$E)</f>
        <v/>
      </c>
      <c r="H13" s="16">
        <f>G13/9</f>
        <v/>
      </c>
      <c r="I13" s="16">
        <f>IFERROR(D13/H13,0)</f>
        <v/>
      </c>
      <c r="J13">
        <f>IF(D13&lt;=10,"REORDER NOW",IF(I13&lt;1,"REORDER","OK"))</f>
        <v/>
      </c>
    </row>
  </sheetData>
  <autoFilter ref="A1:J13"/>
  <conditionalFormatting sqref="D2:D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7" t="inlineStr">
        <is>
          <t>PROFESSIONAL SALES &amp; INVENTORY ANALYTICS WORKBOOK</t>
        </is>
      </c>
      <c r="B1" s="17" t="inlineStr"/>
    </row>
    <row r="2">
      <c r="A2" s="18" t="inlineStr">
        <is>
          <t>Purpose</t>
        </is>
      </c>
      <c r="B2" s="18" t="inlineStr">
        <is>
          <t>Template for analyzing sales, revenue, profit, products, customers, and inventory.</t>
        </is>
      </c>
    </row>
    <row r="3">
      <c r="A3" s="18" t="inlineStr">
        <is>
          <t>How to use</t>
        </is>
      </c>
      <c r="B3" s="18" t="inlineStr">
        <is>
          <t>Replace the sample rows in Sales_Data, Products, and Customers with your actual database export.</t>
        </is>
      </c>
    </row>
    <row r="4">
      <c r="A4" s="18" t="inlineStr">
        <is>
          <t>Important</t>
        </is>
      </c>
      <c r="B4" s="18" t="inlineStr">
        <is>
          <t>The sample data is fictional and is included only to demonstrate the dashboard.</t>
        </is>
      </c>
    </row>
    <row r="5">
      <c r="A5" s="18" t="inlineStr">
        <is>
          <t>Recommended workflow</t>
        </is>
      </c>
      <c r="B5" s="18" t="inlineStr">
        <is>
          <t>1) Import clean transaction data → 2) Update product costs/stock → 3) Review Dashboard → 4) Investigate Product/Inventory tabs.</t>
        </is>
      </c>
    </row>
    <row r="6">
      <c r="A6" s="18" t="inlineStr">
        <is>
          <t>Key analyst questions</t>
        </is>
      </c>
      <c r="B6" s="18" t="inlineStr">
        <is>
          <t>What is selling? What is profitable? Which products are declining? Which items are low stock? Who are the best customers?</t>
        </is>
      </c>
    </row>
    <row r="7">
      <c r="A7" s="18" t="inlineStr">
        <is>
          <t>Data quality</t>
        </is>
      </c>
      <c r="B7" s="18" t="inlineStr">
        <is>
          <t>Keep one row per order line in Sales_Data. Use consistent product IDs, dates, quantities, prices, and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2026-10-08T15:52:19Z</dcterms:created>
  <dcterms:modified xmlns:dcterms="http://purl.org/dc/terms/" xmlns:xsi="http://www.w3.org/2001/XMLSchema-instance" xsi:type="dcterms:W3CDTF">2026-10-08T15:52:19Z</dcterms:modified>
</cp:coreProperties>
</file>